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is\Documents\GitHub\Pyvisa\"/>
    </mc:Choice>
  </mc:AlternateContent>
  <xr:revisionPtr revIDLastSave="0" documentId="13_ncr:1_{F177EF1A-FEC7-415B-89D4-11367141854D}" xr6:coauthVersionLast="47" xr6:coauthVersionMax="47" xr10:uidLastSave="{00000000-0000-0000-0000-000000000000}"/>
  <bookViews>
    <workbookView xWindow="5820" yWindow="375" windowWidth="19395" windowHeight="15105" xr2:uid="{00000000-000D-0000-FFFF-FFFF00000000}"/>
  </bookViews>
  <sheets>
    <sheet name="INDEX" sheetId="13" r:id="rId1"/>
    <sheet name="XDM2041" sheetId="1" r:id="rId2"/>
    <sheet name="GDM9061" sheetId="12" r:id="rId3"/>
    <sheet name="KA3005PS" sheetId="2" r:id="rId4"/>
    <sheet name="KA3005P" sheetId="3" r:id="rId5"/>
    <sheet name="Z650-1-U" sheetId="5" r:id="rId6"/>
    <sheet name="SDG2042X" sheetId="9" r:id="rId7"/>
    <sheet name="SDG1032X" sheetId="4" r:id="rId8"/>
    <sheet name="SDS1104X-U" sheetId="6" r:id="rId9"/>
    <sheet name="SDS1204X-E" sheetId="8" r:id="rId10"/>
    <sheet name="SDS5034X" sheetId="10" r:id="rId11"/>
    <sheet name="DS4024" sheetId="11" r:id="rId12"/>
    <sheet name="SDL1020X-E" sheetId="7" r:id="rId13"/>
  </sheets>
  <definedNames>
    <definedName name="_xlnm._FilterDatabase" localSheetId="0" hidden="1">INDEX!$B$1:$F$12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3" l="1"/>
  <c r="A12" i="13"/>
  <c r="A11" i="13"/>
  <c r="A10" i="13"/>
  <c r="A9" i="13"/>
  <c r="A8" i="13"/>
  <c r="A7" i="13"/>
  <c r="A6" i="13"/>
  <c r="A5" i="13"/>
  <c r="A4" i="13"/>
  <c r="A3" i="13"/>
  <c r="A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B1EEAA9B-673E-4220-ABA5-DB40C7742955}">
      <text>
        <r>
          <rPr>
            <sz val="11"/>
            <color theme="1"/>
            <rFont val="Calibri"/>
            <family val="2"/>
            <scheme val="minor"/>
          </rPr>
          <t>SCPI commands compiled from: https://int.siglent.com/upload_file/user/SDG1000/SDG1000_RemoteControlManual_RC02010-E02A.pdf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A66AB0FA-5FE0-4919-AC5D-C06560AA7A53}">
      <text>
        <r>
          <rPr>
            <sz val="11"/>
            <color theme="1"/>
            <rFont val="Calibri"/>
            <family val="2"/>
            <scheme val="minor"/>
          </rPr>
          <t>SCPI commands compiled from: https://int.siglent.com/upload_file/user/SDG1000/SDG1000_RemoteControlManual_RC02010-E02A.pdf</t>
        </r>
      </text>
    </comment>
  </commentList>
</comments>
</file>

<file path=xl/sharedStrings.xml><?xml version="1.0" encoding="utf-8"?>
<sst xmlns="http://schemas.openxmlformats.org/spreadsheetml/2006/main" count="872" uniqueCount="341">
  <si>
    <t>Name</t>
  </si>
  <si>
    <t>GET/SET</t>
  </si>
  <si>
    <t>CMD</t>
  </si>
  <si>
    <t>Parameters</t>
  </si>
  <si>
    <t>Return type</t>
  </si>
  <si>
    <t>Return example</t>
  </si>
  <si>
    <t>IDN</t>
  </si>
  <si>
    <t>GET</t>
  </si>
  <si>
    <t>*IDN?</t>
  </si>
  <si>
    <t>OWON,XDM2041,2153136,V3.0.0,3</t>
  </si>
  <si>
    <t>VDC</t>
  </si>
  <si>
    <t>SET</t>
  </si>
  <si>
    <t>CONF:VOLT:DC {RANGE}</t>
  </si>
  <si>
    <t>RANGE:AUTO;500E-3;5;50;500;1000</t>
  </si>
  <si>
    <t>VAC</t>
  </si>
  <si>
    <t>CONF:VOLT:AC {RANGE}</t>
  </si>
  <si>
    <t>RANGE:AUTO;500E-3;5;50;500;750</t>
  </si>
  <si>
    <t>IDC</t>
  </si>
  <si>
    <t>CONF:CURR:DC {RANGE}</t>
  </si>
  <si>
    <t>RANGE:AUTO;500E-6;5E-3;50E-3;500E-3;5;10</t>
  </si>
  <si>
    <t>IAC</t>
  </si>
  <si>
    <t>CONF:CURR:AC {RANGE}</t>
  </si>
  <si>
    <t>R2W</t>
  </si>
  <si>
    <t>CONF:RES {RANGE}</t>
  </si>
  <si>
    <t>RANGE:AUTO;500;5000;50000;500000;5000000;50000000</t>
  </si>
  <si>
    <t>R4W</t>
  </si>
  <si>
    <t>CONF:FRES {RANGE}</t>
  </si>
  <si>
    <t>CAP</t>
  </si>
  <si>
    <t>CONF:CAP {RANGE}</t>
  </si>
  <si>
    <t>RANGE:AUTO;50e-9;50e-8;50e-7;50e-6;50e-5;50e-4;50e-3</t>
  </si>
  <si>
    <t>FREQ</t>
  </si>
  <si>
    <t>CONF:FREQ</t>
  </si>
  <si>
    <t>TEMP</t>
  </si>
  <si>
    <t>CONF:TEMP</t>
  </si>
  <si>
    <t>DIOD</t>
  </si>
  <si>
    <t>CONF:DIOD</t>
  </si>
  <si>
    <t>CONT</t>
  </si>
  <si>
    <t>CONF:CONT</t>
  </si>
  <si>
    <t>PERIOD</t>
  </si>
  <si>
    <t>CONF:PER</t>
  </si>
  <si>
    <t>Get range</t>
  </si>
  <si>
    <t>RANGE?</t>
  </si>
  <si>
    <t>string</t>
  </si>
  <si>
    <t>500uA</t>
  </si>
  <si>
    <t>read</t>
  </si>
  <si>
    <t>MEAS?</t>
  </si>
  <si>
    <t>float</t>
  </si>
  <si>
    <t>Identification</t>
  </si>
  <si>
    <t>str</t>
  </si>
  <si>
    <t>Status</t>
  </si>
  <si>
    <t>STATUS?</t>
  </si>
  <si>
    <t>Reset</t>
  </si>
  <si>
    <t>*RST</t>
  </si>
  <si>
    <t>Clear status</t>
  </si>
  <si>
    <t>*CLS</t>
  </si>
  <si>
    <t>Output enable/disable</t>
  </si>
  <si>
    <t>{CH}:OUTP {STATE}</t>
  </si>
  <si>
    <t>CH:C1;C2 | STATE:ON;OFF</t>
  </si>
  <si>
    <t>Output load</t>
  </si>
  <si>
    <t>{CH}:OUTP LOAD,{LOAD}</t>
  </si>
  <si>
    <t>CH:C1;C2 | LOAD:50;HZ</t>
  </si>
  <si>
    <t>Output polarity</t>
  </si>
  <si>
    <t>{CH}:OUTP PLRT,{PLRT}</t>
  </si>
  <si>
    <t>CH:C1;C2 | PLRT:NOR;INVT</t>
  </si>
  <si>
    <t>Set waveform type</t>
  </si>
  <si>
    <t>{CH}:BSWV WVTP,{WVTP}</t>
  </si>
  <si>
    <t>CH:C1;C2 | WVTP:SINE;SQUARE;RAMP;PULSE;NOISE;ARB;DC</t>
  </si>
  <si>
    <t>CH:C1;C2 | FREQ:Hz</t>
  </si>
  <si>
    <t>Modulation state</t>
  </si>
  <si>
    <t>{CH}:MDWV STATE,{STATE}</t>
  </si>
  <si>
    <t>Select modulation type</t>
  </si>
  <si>
    <t>{CH}:MDWV {TYPE}</t>
  </si>
  <si>
    <t>CH:C1;C2 | TYPE:AM;FM;PM;FSK;ASK;DSBAM;PWM</t>
  </si>
  <si>
    <t>AM: set source</t>
  </si>
  <si>
    <t>{CH}:MDWV AM,SRC,{SRC}</t>
  </si>
  <si>
    <t>CH:C1;C2 | SRC:INT;EXT</t>
  </si>
  <si>
    <t>AM: set mod wave shape</t>
  </si>
  <si>
    <t>{CH}:MDWV AM,MDSP,{SHAPE}</t>
  </si>
  <si>
    <t>CH:C1;C2 | SHAPE:SINE;SQUARE;TRIANGLE;UPRAMP;DNRAMP;NOISE;ARB</t>
  </si>
  <si>
    <t>FM: set deviation</t>
  </si>
  <si>
    <t>{CH}:MDWV FM,DEVI,{DEVI}</t>
  </si>
  <si>
    <t>CH:C1;C2 | DEVI:Hz</t>
  </si>
  <si>
    <t>FM: set frequency</t>
  </si>
  <si>
    <t>{CH}:MDWV FM,FRQ,{FREQ}</t>
  </si>
  <si>
    <t>Sweep state</t>
  </si>
  <si>
    <t>{CH}:SWWV STATE,{STATE}</t>
  </si>
  <si>
    <t>Sweep trigger source</t>
  </si>
  <si>
    <t>{CH}:SWWV TRSR,{TRSR}</t>
  </si>
  <si>
    <t>CH:C1;C2 | TRSR:EXT;INT;MAN</t>
  </si>
  <si>
    <t>Sweep mode</t>
  </si>
  <si>
    <t>{CH}:SWWV SWMD,{SWMD}</t>
  </si>
  <si>
    <t>CH:C1;C2 | SWMD:LINE;LOG</t>
  </si>
  <si>
    <t>Sweep direction</t>
  </si>
  <si>
    <t>{CH}:SWWV DIR,{DIR}</t>
  </si>
  <si>
    <t>CH:C1;C2 | DIR:UP;DOWN</t>
  </si>
  <si>
    <t>Sweep manual trigger</t>
  </si>
  <si>
    <t>{CH}:SWWV MTRIG</t>
  </si>
  <si>
    <t>Burst state</t>
  </si>
  <si>
    <t>{CH}:BTWV STATE,{STATE}</t>
  </si>
  <si>
    <t>Burst period</t>
  </si>
  <si>
    <t>{CH}:BTWV PRD,{PRD}</t>
  </si>
  <si>
    <t>CH:C1;C2 | PRD:s</t>
  </si>
  <si>
    <t>Burst trigger source</t>
  </si>
  <si>
    <t>{CH}:BTWV TRSR,{TRSR}</t>
  </si>
  <si>
    <t>Parameter(s)</t>
  </si>
  <si>
    <t>Identify</t>
  </si>
  <si>
    <t>Output ON/OFF</t>
  </si>
  <si>
    <t>OUTPut:STATe {STATE}</t>
  </si>
  <si>
    <t>Output state</t>
  </si>
  <si>
    <t>OUTPut:STATe?</t>
  </si>
  <si>
    <t>Read mode (CV/CC/OFF)</t>
  </si>
  <si>
    <t>OUTPut:MODE?</t>
  </si>
  <si>
    <t>Set voltage</t>
  </si>
  <si>
    <t>VOLTage {VOLT}</t>
  </si>
  <si>
    <t>Get voltage setpoint</t>
  </si>
  <si>
    <t>VOLTage?</t>
  </si>
  <si>
    <t>Set current limit</t>
  </si>
  <si>
    <t>CURRent {CURR}</t>
  </si>
  <si>
    <t>Get current setpoint</t>
  </si>
  <si>
    <t>CURRent?</t>
  </si>
  <si>
    <t>Measure voltage</t>
  </si>
  <si>
    <t>MEASure:VOLTage?</t>
  </si>
  <si>
    <t>Measure current</t>
  </si>
  <si>
    <t>MEASure:CURRent?</t>
  </si>
  <si>
    <t>Measure power</t>
  </si>
  <si>
    <t>MEASure:POWer?</t>
  </si>
  <si>
    <t>Clear protection latch</t>
  </si>
  <si>
    <t>OUTPut:PROTection:CLEar</t>
  </si>
  <si>
    <t>Set OVP level</t>
  </si>
  <si>
    <t>VOLTage:PROTection:LEVel {OVP}</t>
  </si>
  <si>
    <t>Read OVP level</t>
  </si>
  <si>
    <t>VOLTage:PROTection:LEVel?</t>
  </si>
  <si>
    <t>UVP mode (UVP/UVL)</t>
  </si>
  <si>
    <t>VOLTage:PROTection:LOW:STATe {MODE}</t>
  </si>
  <si>
    <t>Set UVP/UVL level</t>
  </si>
  <si>
    <t>VOLTage:PROTection:LOW {UV}</t>
  </si>
  <si>
    <t>Read UVP/UVL level</t>
  </si>
  <si>
    <t>VOLTage:PROTection:LOW?</t>
  </si>
  <si>
    <t>Read system error</t>
  </si>
  <si>
    <t>SYSTem:ERRor?</t>
  </si>
  <si>
    <t>STATE:ON;OFF</t>
  </si>
  <si>
    <t>VOLT:V.3f</t>
  </si>
  <si>
    <t>CURR:V.3f</t>
  </si>
  <si>
    <t>OVP:V.2f</t>
  </si>
  <si>
    <t>MODE:UVP;UVL</t>
  </si>
  <si>
    <t>UV:V.2f</t>
  </si>
  <si>
    <t>Query error</t>
  </si>
  <si>
    <t>Set vertical offset</t>
  </si>
  <si>
    <t>Set time scale</t>
  </si>
  <si>
    <t>TIMebase:SCALe {TIME}</t>
  </si>
  <si>
    <t>TIME</t>
  </si>
  <si>
    <t>Set trigger source</t>
  </si>
  <si>
    <t>Set trigger slope</t>
  </si>
  <si>
    <t>Set trigger level</t>
  </si>
  <si>
    <t>Display trace</t>
  </si>
  <si>
    <t>{CH}:TRAce {mode}</t>
  </si>
  <si>
    <t>{CH}:CPL {mode}</t>
  </si>
  <si>
    <t>CH:C1;C2;C3;C4;TA;TB;TC;TD | mode:ON;OFF</t>
  </si>
  <si>
    <t>CH:C1;C2;C3;C4 | mode:A1M;D1M;GND</t>
  </si>
  <si>
    <t>{CH}:VDIV {V_GAIN}</t>
  </si>
  <si>
    <t>TDIV {value}</t>
  </si>
  <si>
    <t>value:1NS;2NS;5NS;10NS;20NS;50NS;100NS;200NS;500NS;1US;2US;5US;10US;20US;50US;100US;200US;500US;1MS;2MS;5MS;10MS;20MS;50MS;100MS;200MS;500MS;1S;2S;5S;10S;20S;50S</t>
  </si>
  <si>
    <t>V/DIV</t>
  </si>
  <si>
    <t>S/DIV</t>
  </si>
  <si>
    <t>Force trigger</t>
  </si>
  <si>
    <t>Trigger mode</t>
  </si>
  <si>
    <t>state:AUTO;NORM;SINGLE;STOP</t>
  </si>
  <si>
    <t>TRMD {state}</t>
  </si>
  <si>
    <t>CH:C1;C2;C3;C4 | V_GAIN</t>
  </si>
  <si>
    <t>TRSE {trig_type},SR,{source}</t>
  </si>
  <si>
    <t>trig_type:EDGE;GLIT;SLEW;INTV | source:C1;C2;C3;C4;LINE;EX;EX5</t>
  </si>
  <si>
    <t>{VA}SET1:{VOLT}</t>
  </si>
  <si>
    <t>Get target level</t>
  </si>
  <si>
    <t>Set target level</t>
  </si>
  <si>
    <t>Get actual level</t>
  </si>
  <si>
    <t>{VA}SET1?</t>
  </si>
  <si>
    <t>{VA}OUT1?</t>
  </si>
  <si>
    <t>{MODE}{STATE}</t>
  </si>
  <si>
    <t>VA:V;I|VOLT:V.2f</t>
  </si>
  <si>
    <t>VA:V;I</t>
  </si>
  <si>
    <t>Trigger type</t>
  </si>
  <si>
    <t>Set Sweep parameter</t>
  </si>
  <si>
    <t>CH:C1;C2 | parameter:START;STOP;TIME|value</t>
  </si>
  <si>
    <t>{CH}:SWWV {parameter},{value}</t>
  </si>
  <si>
    <t xml:space="preserve">CH:C1;C2 </t>
  </si>
  <si>
    <t>(only when TRSR=MAN)</t>
  </si>
  <si>
    <t>Set waveform parameter</t>
  </si>
  <si>
    <t>{CH}:BSWV {PARAM},{VALUE}</t>
  </si>
  <si>
    <t>AM: set Parameter</t>
  </si>
  <si>
    <t>{CH}:MDWV AM,{PARAM},{VALUE}</t>
  </si>
  <si>
    <t>CH:C1;C2 | PARAM:FRQ;DEPTH|VALUE</t>
  </si>
  <si>
    <t>Read output</t>
  </si>
  <si>
    <t>MEAS:{UNIT}:DC?</t>
  </si>
  <si>
    <t>UNIT:CURR;VOLT;POW;RES</t>
  </si>
  <si>
    <t>:SOUR:INP:STAT {STATE}</t>
  </si>
  <si>
    <t>Short Output</t>
  </si>
  <si>
    <t xml:space="preserve">:SOUR:SHOR:STAT {STATE} </t>
  </si>
  <si>
    <t>Output Type</t>
  </si>
  <si>
    <t xml:space="preserve">:SOUR:FUNC {STATE}  </t>
  </si>
  <si>
    <t>STATE:CURR;VOLT;POW;RES</t>
  </si>
  <si>
    <t>Enable remote sense</t>
  </si>
  <si>
    <t xml:space="preserve">SYST:SENS: {STATE} </t>
  </si>
  <si>
    <t>CH:C1;C2 | PARAM:FRQ;PERI;AMP;OFST;HLEV;LLEV;PHSE;DUTY;WIDTH|VALUE</t>
  </si>
  <si>
    <t>Measure parameter</t>
  </si>
  <si>
    <t>{CH}:PAVA? {PARAM}</t>
  </si>
  <si>
    <t>TRMD SINGLE;ARM</t>
  </si>
  <si>
    <t>CH:C1;C2;C3;C4|mode:ON;OFF</t>
  </si>
  <si>
    <t>CH:C1;C2;C3;C4 | mode:0.1;0.2;0.5;1;2;5;10;20;50;100;200;500;1000;2000;5000;10000</t>
  </si>
  <si>
    <t>BWL {CH}, {mode}</t>
  </si>
  <si>
    <t>{CH}:ATTN {mode}</t>
  </si>
  <si>
    <t>Set input coupling</t>
  </si>
  <si>
    <t>Set input attenuation</t>
  </si>
  <si>
    <t>SET50</t>
  </si>
  <si>
    <t>{CH}:TRCP {MODE}</t>
  </si>
  <si>
    <t>TRDL {TIME}</t>
  </si>
  <si>
    <t>Set trigger delay (1E-9)</t>
  </si>
  <si>
    <t>{CH}:TRLV {LEVEL}</t>
  </si>
  <si>
    <t>SCDP</t>
  </si>
  <si>
    <t>__IMAGE__</t>
  </si>
  <si>
    <t>Screenshot</t>
  </si>
  <si>
    <t>To convert raw to PIL image:</t>
  </si>
  <si>
    <t>STATE:OFF;ON</t>
  </si>
  <si>
    <t>Set level</t>
  </si>
  <si>
    <t>Enable load</t>
  </si>
  <si>
    <t>STATE:CURR;VOLT;POW;RES | VALUE</t>
  </si>
  <si>
    <t>:SOUR:{STATE}:LEV:IMM {VALUE}</t>
  </si>
  <si>
    <t>MODE:OUT;OCP;OVP|STATE:0;1</t>
  </si>
  <si>
    <t>CH:C1;C2;C3;C4|MODE:DC;AC;HFREJ;LFREJ</t>
  </si>
  <si>
    <t>CH:C1;C2;C3;C4|LEVEL</t>
  </si>
  <si>
    <t>CH:C1;C2;C3;C4|PARAM:ALL;AMPL;BASE;CMEAN;CRMS;DUTY;FALL;FREQ;FPRE;MAX;MIN;MEAN;NDUTY;NWID;OVSN;PKPK;PER;RPRE;PWID;RMS;RISE;TOP;WID</t>
  </si>
  <si>
    <t>CH:C1;C2;C3;C4|OFFSET</t>
  </si>
  <si>
    <t>{CH}:OFFSet {OFFSET}</t>
  </si>
  <si>
    <t>Custom CMD</t>
  </si>
  <si>
    <t>{CMD}</t>
  </si>
  <si>
    <t>CH:C1;C2;C3;C4;EX;EX5|SLOPE:POS;NEG;WINDOW</t>
  </si>
  <si>
    <t>{CH}:TRSL {SLOPE}</t>
  </si>
  <si>
    <t>Set BW filter 20Mhz</t>
  </si>
  <si>
    <t>Auto trigger level</t>
  </si>
  <si>
    <t>ASET</t>
  </si>
  <si>
    <t>Auto Setup</t>
  </si>
  <si>
    <t>Set trace unit</t>
  </si>
  <si>
    <t>CH:C1;C2;C3;C4|unit:V;A</t>
  </si>
  <si>
    <t>{CH}:UNIT {unit}</t>
  </si>
  <si>
    <t>:SYSTem:ERRor?</t>
  </si>
  <si>
    <t>:CHANnel{CH}:DISPlay {mode}</t>
  </si>
  <si>
    <t>1|0</t>
  </si>
  <si>
    <t>:CHANnel{CH}:COUPling {mode}</t>
  </si>
  <si>
    <t>:CHANnel{CH}:PROBe {ratio}</t>
  </si>
  <si>
    <t>Set input Bandwith</t>
  </si>
  <si>
    <t>:CHANnel{CH}:BWLimit {mode}</t>
  </si>
  <si>
    <t>:CHANnel{CH}:OFFSet {OFFSET}</t>
  </si>
  <si>
    <t>:TIMebase:MAIN:SCALe {value}</t>
  </si>
  <si>
    <t>value (s/div)</t>
  </si>
  <si>
    <t>:TRIGger:SWEep {state}</t>
  </si>
  <si>
    <t>TRIGger:SWEep?</t>
  </si>
  <si>
    <t>:TRIGger:MODE {trig_type};:TRIGger:EDGe:SOURce {source}</t>
  </si>
  <si>
    <t>:TRIGger:MODE?</t>
  </si>
  <si>
    <t>:TRIGger:COUPling {MODE}</t>
  </si>
  <si>
    <t>MODE:AC;DC;LFReject;HFReject</t>
  </si>
  <si>
    <t>:TRIGger:COUPling?</t>
  </si>
  <si>
    <t>:TIMebase:MAIN:OFFSet {TIME}</t>
  </si>
  <si>
    <t>TIME (s)</t>
  </si>
  <si>
    <t>:TIMebase:MAIN:OFFSet?</t>
  </si>
  <si>
    <t>:TRIGger:EDGe:LEVel {LEVEL}</t>
  </si>
  <si>
    <t>LEVEL (V, depends on source units)</t>
  </si>
  <si>
    <t>:TRIGger:EDGe:LEVel?</t>
  </si>
  <si>
    <t>:TRIGger:EDGe:SLOPe {SLOPE}</t>
  </si>
  <si>
    <t>SLOPE:POSitive;NEGative;RFALl</t>
  </si>
  <si>
    <t>:TRIGger:EDGe:SLOPe?</t>
  </si>
  <si>
    <t>Set acquisition type</t>
  </si>
  <si>
    <t>:ACQuire:TYPE {TYPE}</t>
  </si>
  <si>
    <t>TYPE:NORMal;AVERages;PEAK;HRESolution</t>
  </si>
  <si>
    <t>:ACQuire:TYPE?</t>
  </si>
  <si>
    <t>CH:1;2;3;4 |mode:AC;DC;GND</t>
  </si>
  <si>
    <t>CH:1;2;3;4 |mode:ON;OFF</t>
  </si>
  <si>
    <t>CH:1;2;3;4 |ratio:0.01;0.02;0.05;0.1;0.2;0.5;1;2;5;10;20;50;100;200;500;1000</t>
  </si>
  <si>
    <t>CH:1;2;3;4 |mode:20M;100M;200M;OFF</t>
  </si>
  <si>
    <t>CH:1;2;3;4 |OFFSET</t>
  </si>
  <si>
    <t>state:AUTO;NORM;SING</t>
  </si>
  <si>
    <t>trig_type:EDGE;PULS;SLOP;VID| source:CHANnel1;CHANnel2;CHANnel3;CHANnel4;AC</t>
  </si>
  <si>
    <t>:CHANnel{CH}:SCALe {V_DIV}</t>
  </si>
  <si>
    <t>CH:1;2;3;4 |V_DIV</t>
  </si>
  <si>
    <t>Set Trigger system</t>
  </si>
  <si>
    <t>{MODE}</t>
  </si>
  <si>
    <t>MODE::RUN;:STOP;:TFORce</t>
  </si>
  <si>
    <t>:MEASure: {ITEM}? CHANnel{CH}</t>
  </si>
  <si>
    <t>:DISPlay:DATA?</t>
  </si>
  <si>
    <t>ITEM:ADISplay;AMSource;AREA;CLEar;COUNter:SOURce;COUNter:VALue?;CREGion:CAX;CREGion:CBX;FDELay;F2RDelay;FPHase;F2RPhase;FREQuency;FTIMe;HISTory:DISPlay;HISTory:DMODe;MARea;MPARea;NDUTy;NWIDth;OVERshoot;PDUTy;PERiod;PREShoot;PVRMs;PWIDth;RECover;RDELay;R2FDelay;RPHase;R2FPhase;RTIMe;SETup:DSA;SETup:DSB;SETup:MAX;SETup:MID;SETup:MIN;SETup:PSA;SETup:PSB;SETup:TYPE;STATistic:DISPlay;STATistic:MODE;STATistic:RESet;SOURce;VAMP;VAVG;VBASe;VMAX;VMIN;VPP;VRMS;VTOP|CH:1;2;3;4;MATH</t>
  </si>
  <si>
    <t>Set state</t>
  </si>
  <si>
    <t>Reset SCPI</t>
  </si>
  <si>
    <t>config CH1 VOLT mode</t>
  </si>
  <si>
    <t>CONF:VOLT:{MODE}</t>
  </si>
  <si>
    <t>MODE:DC;AC</t>
  </si>
  <si>
    <t>config CH1 current mode</t>
  </si>
  <si>
    <t>CONF:CURR:{MODE}</t>
  </si>
  <si>
    <t>Read CH1 value</t>
  </si>
  <si>
    <t>VAL1?</t>
  </si>
  <si>
    <t>config CH2 VOLT mode</t>
  </si>
  <si>
    <t>CONF2:VOLT:{MODE}</t>
  </si>
  <si>
    <t>config CH2 current mode</t>
  </si>
  <si>
    <t>CONF2:CURR:{MODE}</t>
  </si>
  <si>
    <t>Read CH2 value</t>
  </si>
  <si>
    <t>VAL2?</t>
  </si>
  <si>
    <t>Perform a read</t>
  </si>
  <si>
    <t>READ?</t>
  </si>
  <si>
    <t>Model</t>
  </si>
  <si>
    <t>Type</t>
  </si>
  <si>
    <t>Interface</t>
  </si>
  <si>
    <t>Description</t>
  </si>
  <si>
    <t>Brand</t>
  </si>
  <si>
    <t>YES</t>
  </si>
  <si>
    <t>DMM</t>
  </si>
  <si>
    <t>5,5 digit digital multimeter</t>
  </si>
  <si>
    <t>Serial</t>
  </si>
  <si>
    <t>Korad</t>
  </si>
  <si>
    <t>30V 5A lab power supply</t>
  </si>
  <si>
    <t>DC power supply</t>
  </si>
  <si>
    <t>Owon</t>
  </si>
  <si>
    <t>REMARK</t>
  </si>
  <si>
    <t>starting a measurment might require to read a few times before it's working</t>
  </si>
  <si>
    <t>USB</t>
  </si>
  <si>
    <t>USB / LAN</t>
  </si>
  <si>
    <t>6,5 digit digtal multimeter</t>
  </si>
  <si>
    <t>Gwinstek</t>
  </si>
  <si>
    <t>Function generator</t>
  </si>
  <si>
    <t>40Mhz - 2 channel function generator</t>
  </si>
  <si>
    <t>Sigilent</t>
  </si>
  <si>
    <t>30Mhz - 2 channel function generator</t>
  </si>
  <si>
    <t>NO</t>
  </si>
  <si>
    <t>DC power supply 650V</t>
  </si>
  <si>
    <t>TDK</t>
  </si>
  <si>
    <t>Yes</t>
  </si>
  <si>
    <t>4 channel - 100Mhz 250MSa/s</t>
  </si>
  <si>
    <t>4 channel - 200Mhz 500MSa/s</t>
  </si>
  <si>
    <t>Oscilloscope</t>
  </si>
  <si>
    <t>4 channel - 350Mhz 2,5GSa/s</t>
  </si>
  <si>
    <t>Electrical load</t>
  </si>
  <si>
    <t>150V / 30A 200W DC Load</t>
  </si>
  <si>
    <t>Tested</t>
  </si>
  <si>
    <t>4 channel - 200Mhz 4GSa/s</t>
  </si>
  <si>
    <t>Rigol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</si>
</sst>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0" borderId="0"/>
    <xf numFmtId="0" fontId="2" fillId="0" borderId="0" applyNumberFormat="0" applyFill="0" applyBorder="0" applyAlignment="0" applyProtection="0"/>
    <xf numFmtId="0" fontId="4" fillId="4" borderId="1" applyNumberFormat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6" fillId="2" borderId="1" xfId="3" applyFont="1" applyFill="1" applyAlignment="1">
      <alignment horizontal="center"/>
    </xf>
  </cellXfs>
  <cellStyles count="4">
    <cellStyle name="Check Cell" xfId="3" builtinId="23"/>
    <cellStyle name="Hyperlink" xfId="1" xr:uid="{00000000-0005-0000-0000-000001000000}"/>
    <cellStyle name="Hyperlink 2" xfId="2" xr:uid="{2F2D2794-8A0B-4E78-870A-48AC4486BC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A636B2C-2321-4439-AF1A-0755EAABD8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823B774-8926-481D-8DCA-2911CD05CF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7D21FDB-05F2-4368-ACF5-D13F97F828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A995D071-917F-47AB-BD6B-D03964A53F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1A31F89-07CF-4A11-9C41-0730E61814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F563E2A-F693-460D-A6AB-D575CDBA6E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B66CCFE-BD97-44E8-BFF7-037DE3EBBC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D35B9F3-40C8-4D6F-9F12-26E0D0CDFE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AAFD70C-098D-428F-81BE-808812C748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FC079AB-96B2-4D9E-B2F1-48FF359277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DD7073F-F852-4CF6-8159-A3A79E9E2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4ADDD48-92C6-43FD-A628-4D6EDD8A47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777B41D-8E02-4F8A-8F3E-2FA70E7242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943C270-9EC6-448B-9AD7-B9F1AE4DA6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95988BE4-A3D7-49BA-9BED-DE404DE3DB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5598CF51-865F-4F6C-BD00-803E53BF55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3ABA4BD6-DB26-4D4A-9C38-D1CEFC418B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1</xdr:row>
      <xdr:rowOff>104775</xdr:rowOff>
    </xdr:from>
    <xdr:to>
      <xdr:col>15</xdr:col>
      <xdr:colOff>191524</xdr:colOff>
      <xdr:row>28</xdr:row>
      <xdr:rowOff>105496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2A0A8-7ED9-4200-B59F-1E71A962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5850" y="295275"/>
          <a:ext cx="7335274" cy="5163271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29</xdr:row>
      <xdr:rowOff>171450</xdr:rowOff>
    </xdr:from>
    <xdr:to>
      <xdr:col>10</xdr:col>
      <xdr:colOff>219491</xdr:colOff>
      <xdr:row>37</xdr:row>
      <xdr:rowOff>85926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C7D2C-2970-428A-BC7F-185DC73FC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6286500"/>
          <a:ext cx="2981741" cy="1438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790575</xdr:colOff>
      <xdr:row>4</xdr:row>
      <xdr:rowOff>0</xdr:rowOff>
    </xdr:from>
    <xdr:to>
      <xdr:col>15</xdr:col>
      <xdr:colOff>168664</xdr:colOff>
      <xdr:row>31</xdr:row>
      <xdr:rowOff>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8D298-7BA7-44F8-A497-C937638C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76870" y="723900"/>
          <a:ext cx="7400044" cy="4915621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32</xdr:row>
      <xdr:rowOff>171450</xdr:rowOff>
    </xdr:from>
    <xdr:to>
      <xdr:col>10</xdr:col>
      <xdr:colOff>211871</xdr:colOff>
      <xdr:row>40</xdr:row>
      <xdr:rowOff>95451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212AE-2206-4FFF-8C77-F806760FA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33230" y="5987415"/>
          <a:ext cx="3044606" cy="1367991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809625</xdr:colOff>
      <xdr:row>1</xdr:row>
      <xdr:rowOff>104775</xdr:rowOff>
    </xdr:from>
    <xdr:to>
      <xdr:col>15</xdr:col>
      <xdr:colOff>191524</xdr:colOff>
      <xdr:row>28</xdr:row>
      <xdr:rowOff>105496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7CDC8-C25F-44DE-B63D-34AFBFD8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5850" y="295275"/>
          <a:ext cx="7335274" cy="5163271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29</xdr:row>
      <xdr:rowOff>171450</xdr:rowOff>
    </xdr:from>
    <xdr:to>
      <xdr:col>10</xdr:col>
      <xdr:colOff>219491</xdr:colOff>
      <xdr:row>37</xdr:row>
      <xdr:rowOff>85926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BCCA07-30C5-423A-A9F9-4BC10A695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5715000"/>
          <a:ext cx="2981741" cy="1438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790575</xdr:colOff>
      <xdr:row>4</xdr:row>
      <xdr:rowOff>0</xdr:rowOff>
    </xdr:from>
    <xdr:to>
      <xdr:col>15</xdr:col>
      <xdr:colOff>172474</xdr:colOff>
      <xdr:row>31</xdr:row>
      <xdr:rowOff>23581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14585-2F36-4214-B886-DFAABB7D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71155" y="731520"/>
          <a:ext cx="7405759" cy="4961341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32</xdr:row>
      <xdr:rowOff>171450</xdr:rowOff>
    </xdr:from>
    <xdr:to>
      <xdr:col>10</xdr:col>
      <xdr:colOff>219491</xdr:colOff>
      <xdr:row>40</xdr:row>
      <xdr:rowOff>85926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F4036-00CA-4F5B-BBBD-495AE525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23705" y="6046470"/>
          <a:ext cx="3052226" cy="1377516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809625</xdr:colOff>
      <xdr:row>1</xdr:row>
      <xdr:rowOff>104775</xdr:rowOff>
    </xdr:from>
    <xdr:to>
      <xdr:col>15</xdr:col>
      <xdr:colOff>191524</xdr:colOff>
      <xdr:row>28</xdr:row>
      <xdr:rowOff>105496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05B0B4-9DA0-4851-BA5C-629D4BD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5850" y="295275"/>
          <a:ext cx="7335274" cy="5163271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29</xdr:row>
      <xdr:rowOff>171450</xdr:rowOff>
    </xdr:from>
    <xdr:to>
      <xdr:col>10</xdr:col>
      <xdr:colOff>219491</xdr:colOff>
      <xdr:row>37</xdr:row>
      <xdr:rowOff>85926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2A8BCC-2FCF-4D7A-9E02-8015B1C2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5715000"/>
          <a:ext cx="2981741" cy="143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CONF:CURR:%7bMODE%7d%20%7bRANGE%7d" TargetMode="External"/><Relationship Id="rId2" Type="http://schemas.openxmlformats.org/officeDocument/2006/relationships/hyperlink" Target="CONF:VOLT:%7bMODE%7d" TargetMode="External"/><Relationship Id="rId1" Type="http://schemas.openxmlformats.org/officeDocument/2006/relationships/hyperlink" Target="CONF:CURR:%7bMODE%7d" TargetMode="External"/><Relationship Id="rId4" Type="http://schemas.openxmlformats.org/officeDocument/2006/relationships/hyperlink" Target="CONF:VOLT:%7bMODE%7d%2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1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6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5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4" Type="http://schemas.openxmlformats.org/officeDocument/2006/relationships/hyperlink" Target="https://product.tdk.com/system/files/dam/doc/product/power/switching-power/prg-power/instruction_manual/zplus-user-manual-high-voltage-models-160v-to-650v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F777-AA56-44FD-8C88-95464F27D83A}">
  <sheetPr>
    <tabColor rgb="FFFF0000"/>
  </sheetPr>
  <dimension ref="A1:G14"/>
  <sheetViews>
    <sheetView tabSelected="1" workbookViewId="0">
      <selection activeCell="B17" sqref="B17"/>
    </sheetView>
  </sheetViews>
  <sheetFormatPr defaultRowHeight="15"/>
  <cols>
    <col min="1" max="1" width="18.140625" customWidth="1"/>
    <col min="3" max="3" width="19" customWidth="1"/>
    <col min="4" max="4" width="15.7109375" customWidth="1"/>
    <col min="5" max="5" width="37.42578125" customWidth="1"/>
    <col min="6" max="6" width="28.5703125" customWidth="1"/>
    <col min="7" max="7" width="78.85546875" customWidth="1"/>
  </cols>
  <sheetData>
    <row r="1" spans="1:7" ht="15.75" thickBot="1">
      <c r="A1" s="1" t="s">
        <v>305</v>
      </c>
      <c r="B1" s="1" t="s">
        <v>338</v>
      </c>
      <c r="C1" s="1" t="s">
        <v>306</v>
      </c>
      <c r="D1" s="1" t="s">
        <v>309</v>
      </c>
      <c r="E1" s="1" t="s">
        <v>308</v>
      </c>
      <c r="F1" s="1" t="s">
        <v>307</v>
      </c>
      <c r="G1" s="1" t="s">
        <v>318</v>
      </c>
    </row>
    <row r="2" spans="1:7" ht="16.5" thickTop="1" thickBot="1">
      <c r="A2" s="14" t="str">
        <f>HYPERLINK("#'XDM2041'!A1", "XDM2041")</f>
        <v>XDM2041</v>
      </c>
      <c r="B2" t="s">
        <v>310</v>
      </c>
      <c r="C2" t="s">
        <v>311</v>
      </c>
      <c r="D2" t="s">
        <v>317</v>
      </c>
      <c r="E2" t="s">
        <v>312</v>
      </c>
      <c r="F2" t="s">
        <v>313</v>
      </c>
    </row>
    <row r="3" spans="1:7" ht="16.5" thickTop="1" thickBot="1">
      <c r="A3" s="14" t="str">
        <f>HYPERLINK("#'KA3005PS'!A1", "KA3005PS")</f>
        <v>KA3005PS</v>
      </c>
      <c r="B3" t="s">
        <v>310</v>
      </c>
      <c r="C3" t="s">
        <v>316</v>
      </c>
      <c r="D3" t="s">
        <v>314</v>
      </c>
      <c r="E3" t="s">
        <v>315</v>
      </c>
      <c r="F3" t="s">
        <v>320</v>
      </c>
    </row>
    <row r="4" spans="1:7" ht="16.5" thickTop="1" thickBot="1">
      <c r="A4" s="14" t="str">
        <f>HYPERLINK("#'KA3005P'!A1", "KA3005P")</f>
        <v>KA3005P</v>
      </c>
      <c r="B4" t="s">
        <v>310</v>
      </c>
      <c r="C4" t="s">
        <v>316</v>
      </c>
      <c r="D4" t="s">
        <v>314</v>
      </c>
      <c r="E4" t="s">
        <v>315</v>
      </c>
      <c r="F4" t="s">
        <v>320</v>
      </c>
    </row>
    <row r="5" spans="1:7" ht="16.5" thickTop="1" thickBot="1">
      <c r="A5" s="14" t="str">
        <f>HYPERLINK("#'GDM9061'!A1", "GDM9061")</f>
        <v>GDM9061</v>
      </c>
      <c r="B5" t="s">
        <v>310</v>
      </c>
      <c r="C5" t="s">
        <v>311</v>
      </c>
      <c r="D5" t="s">
        <v>323</v>
      </c>
      <c r="E5" t="s">
        <v>322</v>
      </c>
      <c r="F5" t="s">
        <v>321</v>
      </c>
      <c r="G5" t="s">
        <v>319</v>
      </c>
    </row>
    <row r="6" spans="1:7" ht="16.5" thickTop="1" thickBot="1">
      <c r="A6" s="14" t="str">
        <f>HYPERLINK("#'SDG2042X'!A1", "SDG2042X")</f>
        <v>SDG2042X</v>
      </c>
      <c r="B6" t="s">
        <v>310</v>
      </c>
      <c r="C6" t="s">
        <v>324</v>
      </c>
      <c r="D6" t="s">
        <v>326</v>
      </c>
      <c r="E6" t="s">
        <v>325</v>
      </c>
      <c r="F6" t="s">
        <v>321</v>
      </c>
    </row>
    <row r="7" spans="1:7" ht="16.5" thickTop="1" thickBot="1">
      <c r="A7" s="14" t="str">
        <f>HYPERLINK("#'SDG1032X'!A1", "SDG1032X")</f>
        <v>SDG1032X</v>
      </c>
      <c r="B7" t="s">
        <v>310</v>
      </c>
      <c r="C7" t="s">
        <v>324</v>
      </c>
      <c r="D7" t="s">
        <v>326</v>
      </c>
      <c r="E7" t="s">
        <v>327</v>
      </c>
      <c r="F7" t="s">
        <v>321</v>
      </c>
    </row>
    <row r="8" spans="1:7" ht="16.5" thickTop="1" thickBot="1">
      <c r="A8" s="14" t="str">
        <f>HYPERLINK("#'Z650-1-U'!A1", "Z650-1-U")</f>
        <v>Z650-1-U</v>
      </c>
      <c r="B8" t="s">
        <v>328</v>
      </c>
      <c r="C8" t="s">
        <v>316</v>
      </c>
      <c r="D8" t="s">
        <v>330</v>
      </c>
      <c r="E8" t="s">
        <v>329</v>
      </c>
      <c r="F8" t="s">
        <v>321</v>
      </c>
    </row>
    <row r="9" spans="1:7" ht="16.5" thickTop="1" thickBot="1">
      <c r="A9" s="14" t="str">
        <f>HYPERLINK("#'SDS1104X-U'!A1", "SDS1104X-U")</f>
        <v>SDS1104X-U</v>
      </c>
      <c r="B9" t="s">
        <v>331</v>
      </c>
      <c r="C9" t="s">
        <v>334</v>
      </c>
      <c r="D9" t="s">
        <v>326</v>
      </c>
      <c r="E9" t="s">
        <v>332</v>
      </c>
      <c r="F9" t="s">
        <v>321</v>
      </c>
    </row>
    <row r="10" spans="1:7" ht="16.5" thickTop="1" thickBot="1">
      <c r="A10" s="14" t="str">
        <f>HYPERLINK("#'SDS1204X-E'!A1", "SDS1204X-E")</f>
        <v>SDS1204X-E</v>
      </c>
      <c r="B10" t="s">
        <v>331</v>
      </c>
      <c r="C10" t="s">
        <v>334</v>
      </c>
      <c r="D10" t="s">
        <v>326</v>
      </c>
      <c r="E10" t="s">
        <v>333</v>
      </c>
      <c r="F10" t="s">
        <v>321</v>
      </c>
    </row>
    <row r="11" spans="1:7" ht="16.5" thickTop="1" thickBot="1">
      <c r="A11" s="14" t="str">
        <f>HYPERLINK("#'SDS5034X'!A1", "SDS5034X")</f>
        <v>SDS5034X</v>
      </c>
      <c r="B11" t="s">
        <v>331</v>
      </c>
      <c r="C11" t="s">
        <v>334</v>
      </c>
      <c r="D11" t="s">
        <v>326</v>
      </c>
      <c r="E11" t="s">
        <v>335</v>
      </c>
      <c r="F11" t="s">
        <v>321</v>
      </c>
    </row>
    <row r="12" spans="1:7" ht="16.5" thickTop="1" thickBot="1">
      <c r="A12" s="14" t="str">
        <f>HYPERLINK("#'SDL1020X-E'!A1", "SDL1020X-E")</f>
        <v>SDL1020X-E</v>
      </c>
      <c r="B12" t="s">
        <v>328</v>
      </c>
      <c r="C12" t="s">
        <v>336</v>
      </c>
      <c r="D12" t="s">
        <v>326</v>
      </c>
      <c r="E12" t="s">
        <v>337</v>
      </c>
      <c r="F12" t="s">
        <v>321</v>
      </c>
    </row>
    <row r="13" spans="1:7" ht="16.5" thickTop="1" thickBot="1">
      <c r="A13" s="14" t="str">
        <f>HYPERLINK("#'DS4024'!A1", "DS4024")</f>
        <v>DS4024</v>
      </c>
      <c r="B13" t="s">
        <v>331</v>
      </c>
      <c r="C13" t="s">
        <v>334</v>
      </c>
      <c r="D13" t="s">
        <v>340</v>
      </c>
      <c r="E13" t="s">
        <v>339</v>
      </c>
      <c r="F13" t="s">
        <v>321</v>
      </c>
    </row>
    <row r="14" spans="1:7" ht="15.75" thickTop="1"/>
  </sheetData>
  <autoFilter ref="B1:F12" xr:uid="{4FAAF777-AA56-44FD-8C88-95464F27D83A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16"/>
  <sheetViews>
    <sheetView workbookViewId="0"/>
  </sheetViews>
  <sheetFormatPr defaultRowHeight="15"/>
  <cols>
    <col min="1" max="1" width="9.5703125" customWidth="1"/>
    <col min="3" max="3" width="30.42578125" customWidth="1"/>
    <col min="4" max="4" width="63.7109375" customWidth="1"/>
    <col min="7" max="7" width="40.855468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6</v>
      </c>
      <c r="B2" t="s">
        <v>7</v>
      </c>
      <c r="C2" t="s">
        <v>8</v>
      </c>
      <c r="G2" s="2" t="s">
        <v>9</v>
      </c>
    </row>
    <row r="3" spans="1:7">
      <c r="A3" t="s">
        <v>10</v>
      </c>
      <c r="B3" t="s">
        <v>11</v>
      </c>
      <c r="C3" s="3" t="s">
        <v>12</v>
      </c>
      <c r="D3" t="s">
        <v>13</v>
      </c>
    </row>
    <row r="4" spans="1:7">
      <c r="A4" t="s">
        <v>14</v>
      </c>
      <c r="B4" t="s">
        <v>11</v>
      </c>
      <c r="C4" s="3" t="s">
        <v>15</v>
      </c>
      <c r="D4" t="s">
        <v>16</v>
      </c>
    </row>
    <row r="5" spans="1:7">
      <c r="A5" t="s">
        <v>17</v>
      </c>
      <c r="B5" t="s">
        <v>11</v>
      </c>
      <c r="C5" s="3" t="s">
        <v>18</v>
      </c>
      <c r="D5" t="s">
        <v>19</v>
      </c>
    </row>
    <row r="6" spans="1:7">
      <c r="A6" t="s">
        <v>20</v>
      </c>
      <c r="B6" t="s">
        <v>11</v>
      </c>
      <c r="C6" s="3" t="s">
        <v>21</v>
      </c>
      <c r="D6" t="s">
        <v>19</v>
      </c>
    </row>
    <row r="7" spans="1:7">
      <c r="A7" t="s">
        <v>22</v>
      </c>
      <c r="B7" t="s">
        <v>11</v>
      </c>
      <c r="C7" s="3" t="s">
        <v>23</v>
      </c>
      <c r="D7" t="s">
        <v>24</v>
      </c>
    </row>
    <row r="8" spans="1:7">
      <c r="A8" t="s">
        <v>25</v>
      </c>
      <c r="B8" t="s">
        <v>11</v>
      </c>
      <c r="C8" s="3" t="s">
        <v>26</v>
      </c>
      <c r="D8" t="s">
        <v>24</v>
      </c>
    </row>
    <row r="9" spans="1:7">
      <c r="A9" t="s">
        <v>27</v>
      </c>
      <c r="B9" t="s">
        <v>11</v>
      </c>
      <c r="C9" s="3" t="s">
        <v>28</v>
      </c>
      <c r="D9" t="s">
        <v>29</v>
      </c>
    </row>
    <row r="10" spans="1:7">
      <c r="A10" t="s">
        <v>30</v>
      </c>
      <c r="B10" t="s">
        <v>11</v>
      </c>
      <c r="C10" s="3" t="s">
        <v>31</v>
      </c>
    </row>
    <row r="11" spans="1:7">
      <c r="A11" t="s">
        <v>32</v>
      </c>
      <c r="B11" t="s">
        <v>11</v>
      </c>
      <c r="C11" s="3" t="s">
        <v>33</v>
      </c>
    </row>
    <row r="12" spans="1:7">
      <c r="A12" t="s">
        <v>34</v>
      </c>
      <c r="B12" t="s">
        <v>11</v>
      </c>
      <c r="C12" s="3" t="s">
        <v>35</v>
      </c>
    </row>
    <row r="13" spans="1:7">
      <c r="A13" t="s">
        <v>36</v>
      </c>
      <c r="B13" t="s">
        <v>11</v>
      </c>
      <c r="C13" s="3" t="s">
        <v>37</v>
      </c>
    </row>
    <row r="14" spans="1:7">
      <c r="A14" t="s">
        <v>38</v>
      </c>
      <c r="B14" t="s">
        <v>11</v>
      </c>
      <c r="C14" s="3" t="s">
        <v>39</v>
      </c>
    </row>
    <row r="15" spans="1:7">
      <c r="A15" t="s">
        <v>40</v>
      </c>
      <c r="B15" t="s">
        <v>7</v>
      </c>
      <c r="C15" t="s">
        <v>41</v>
      </c>
      <c r="E15" t="s">
        <v>42</v>
      </c>
      <c r="G15" t="s">
        <v>43</v>
      </c>
    </row>
    <row r="16" spans="1:7">
      <c r="A16" t="s">
        <v>44</v>
      </c>
      <c r="B16" t="s">
        <v>7</v>
      </c>
      <c r="C16" t="s">
        <v>45</v>
      </c>
      <c r="E16" t="s">
        <v>46</v>
      </c>
      <c r="G16" s="4">
        <v>-96.000169999999997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A42B-4009-4001-8094-279CF8DAC6AE}">
  <sheetPr>
    <tabColor rgb="FFC00000"/>
  </sheetPr>
  <dimension ref="A1:G11"/>
  <sheetViews>
    <sheetView workbookViewId="0">
      <selection activeCell="E32" sqref="E32"/>
    </sheetView>
  </sheetViews>
  <sheetFormatPr defaultRowHeight="15"/>
  <cols>
    <col min="1" max="1" width="21.5703125" bestFit="1" customWidth="1"/>
    <col min="2" max="2" width="8.140625" bestFit="1" customWidth="1"/>
    <col min="3" max="3" width="19.28515625" bestFit="1" customWidth="1"/>
    <col min="4" max="4" width="11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>
      <c r="A2" t="s">
        <v>289</v>
      </c>
      <c r="B2" t="s">
        <v>11</v>
      </c>
      <c r="C2" t="s">
        <v>52</v>
      </c>
      <c r="F2" s="1"/>
      <c r="G2" s="1"/>
    </row>
    <row r="3" spans="1:7">
      <c r="A3" t="s">
        <v>290</v>
      </c>
      <c r="B3" t="s">
        <v>11</v>
      </c>
      <c r="C3" t="s">
        <v>291</v>
      </c>
      <c r="D3" t="s">
        <v>292</v>
      </c>
    </row>
    <row r="4" spans="1:7">
      <c r="A4" t="s">
        <v>293</v>
      </c>
      <c r="B4" t="s">
        <v>11</v>
      </c>
      <c r="C4" t="s">
        <v>294</v>
      </c>
      <c r="D4" t="s">
        <v>292</v>
      </c>
    </row>
    <row r="5" spans="1:7">
      <c r="A5" t="s">
        <v>295</v>
      </c>
      <c r="B5" t="s">
        <v>7</v>
      </c>
      <c r="C5" t="s">
        <v>296</v>
      </c>
    </row>
    <row r="6" spans="1:7">
      <c r="A6" t="s">
        <v>297</v>
      </c>
      <c r="B6" t="s">
        <v>11</v>
      </c>
      <c r="C6" t="s">
        <v>298</v>
      </c>
      <c r="D6" t="s">
        <v>292</v>
      </c>
    </row>
    <row r="7" spans="1:7">
      <c r="A7" t="s">
        <v>299</v>
      </c>
      <c r="B7" t="s">
        <v>11</v>
      </c>
      <c r="C7" t="s">
        <v>300</v>
      </c>
      <c r="D7" t="s">
        <v>292</v>
      </c>
    </row>
    <row r="8" spans="1:7">
      <c r="A8" t="s">
        <v>301</v>
      </c>
      <c r="B8" t="s">
        <v>7</v>
      </c>
      <c r="C8" t="s">
        <v>302</v>
      </c>
    </row>
    <row r="11" spans="1:7">
      <c r="A11" t="s">
        <v>303</v>
      </c>
      <c r="B11" t="s">
        <v>7</v>
      </c>
      <c r="C11" t="s">
        <v>304</v>
      </c>
    </row>
  </sheetData>
  <hyperlinks>
    <hyperlink ref="C4" r:id="rId1" xr:uid="{AB89A4EE-A4CD-401B-A433-A326974EE201}"/>
    <hyperlink ref="C3" r:id="rId2" xr:uid="{40C5B5DC-7C77-4044-A7EA-12621A23C8F1}"/>
    <hyperlink ref="C7" r:id="rId3" display="CONF:CURR:{MODE} {RANGE}" xr:uid="{1C8093FA-2D28-424E-9531-15BDF2F19423}"/>
    <hyperlink ref="C6" r:id="rId4" display="CONF:VOLT:{MODE} " xr:uid="{64D16AEA-4CF2-4DB4-81A3-17C876699B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G6"/>
  <sheetViews>
    <sheetView workbookViewId="0"/>
  </sheetViews>
  <sheetFormatPr defaultRowHeight="15"/>
  <cols>
    <col min="1" max="1" width="26.5703125" customWidth="1"/>
    <col min="3" max="3" width="16.5703125" customWidth="1"/>
    <col min="4" max="4" width="27.28515625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G1" s="1" t="s">
        <v>5</v>
      </c>
    </row>
    <row r="2" spans="1:7">
      <c r="A2" t="s">
        <v>49</v>
      </c>
      <c r="B2" t="s">
        <v>7</v>
      </c>
      <c r="C2" t="s">
        <v>50</v>
      </c>
    </row>
    <row r="3" spans="1:7">
      <c r="A3" t="s">
        <v>173</v>
      </c>
      <c r="B3" t="s">
        <v>11</v>
      </c>
      <c r="C3" t="s">
        <v>171</v>
      </c>
      <c r="D3" t="s">
        <v>178</v>
      </c>
    </row>
    <row r="4" spans="1:7">
      <c r="A4" t="s">
        <v>172</v>
      </c>
      <c r="B4" t="s">
        <v>7</v>
      </c>
      <c r="C4" t="s">
        <v>175</v>
      </c>
      <c r="D4" t="s">
        <v>179</v>
      </c>
    </row>
    <row r="5" spans="1:7">
      <c r="A5" t="s">
        <v>174</v>
      </c>
      <c r="B5" t="s">
        <v>7</v>
      </c>
      <c r="C5" t="s">
        <v>176</v>
      </c>
      <c r="D5" t="s">
        <v>179</v>
      </c>
    </row>
    <row r="6" spans="1:7">
      <c r="A6" t="s">
        <v>288</v>
      </c>
      <c r="B6" t="s">
        <v>11</v>
      </c>
      <c r="C6" t="s">
        <v>177</v>
      </c>
      <c r="D6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6"/>
  <sheetViews>
    <sheetView workbookViewId="0"/>
  </sheetViews>
  <sheetFormatPr defaultRowHeight="15"/>
  <cols>
    <col min="1" max="1" width="26.5703125" customWidth="1"/>
    <col min="3" max="3" width="16.5703125" customWidth="1"/>
    <col min="4" max="4" width="25" bestFit="1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49</v>
      </c>
      <c r="B2" t="s">
        <v>7</v>
      </c>
      <c r="C2" t="s">
        <v>50</v>
      </c>
    </row>
    <row r="3" spans="1:7">
      <c r="A3" t="s">
        <v>173</v>
      </c>
      <c r="B3" t="s">
        <v>11</v>
      </c>
      <c r="C3" t="s">
        <v>171</v>
      </c>
      <c r="D3" t="s">
        <v>178</v>
      </c>
    </row>
    <row r="4" spans="1:7">
      <c r="A4" t="s">
        <v>172</v>
      </c>
      <c r="B4" t="s">
        <v>7</v>
      </c>
      <c r="C4" t="s">
        <v>175</v>
      </c>
      <c r="D4" t="s">
        <v>179</v>
      </c>
    </row>
    <row r="5" spans="1:7">
      <c r="A5" t="s">
        <v>174</v>
      </c>
      <c r="B5" t="s">
        <v>7</v>
      </c>
      <c r="C5" t="s">
        <v>176</v>
      </c>
      <c r="D5" t="s">
        <v>179</v>
      </c>
    </row>
    <row r="6" spans="1:7">
      <c r="A6" t="s">
        <v>288</v>
      </c>
      <c r="B6" t="s">
        <v>11</v>
      </c>
      <c r="C6" t="s">
        <v>177</v>
      </c>
      <c r="D6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A7FA-2F93-4DD6-BBE2-8941E214B32F}">
  <sheetPr>
    <tabColor theme="5"/>
  </sheetPr>
  <dimension ref="A1:D19"/>
  <sheetViews>
    <sheetView workbookViewId="0">
      <selection activeCell="C30" sqref="C30"/>
    </sheetView>
  </sheetViews>
  <sheetFormatPr defaultRowHeight="15"/>
  <cols>
    <col min="1" max="1" width="29.140625" customWidth="1"/>
    <col min="2" max="2" width="20" customWidth="1"/>
    <col min="3" max="3" width="40.7109375" customWidth="1"/>
    <col min="4" max="4" width="32.2851562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104</v>
      </c>
    </row>
    <row r="2" spans="1:4">
      <c r="A2" s="8" t="s">
        <v>105</v>
      </c>
      <c r="B2" s="8" t="s">
        <v>7</v>
      </c>
      <c r="C2" s="9" t="s">
        <v>8</v>
      </c>
      <c r="D2" s="3"/>
    </row>
    <row r="3" spans="1:4">
      <c r="A3" s="8" t="s">
        <v>106</v>
      </c>
      <c r="B3" s="8" t="s">
        <v>11</v>
      </c>
      <c r="C3" s="9" t="s">
        <v>107</v>
      </c>
      <c r="D3" s="3" t="s">
        <v>140</v>
      </c>
    </row>
    <row r="4" spans="1:4">
      <c r="A4" s="8" t="s">
        <v>108</v>
      </c>
      <c r="B4" s="8" t="s">
        <v>7</v>
      </c>
      <c r="C4" s="9" t="s">
        <v>109</v>
      </c>
      <c r="D4" s="3"/>
    </row>
    <row r="5" spans="1:4">
      <c r="A5" s="8" t="s">
        <v>110</v>
      </c>
      <c r="B5" s="8" t="s">
        <v>7</v>
      </c>
      <c r="C5" s="9" t="s">
        <v>111</v>
      </c>
      <c r="D5" s="3"/>
    </row>
    <row r="6" spans="1:4">
      <c r="A6" s="8" t="s">
        <v>112</v>
      </c>
      <c r="B6" s="8" t="s">
        <v>11</v>
      </c>
      <c r="C6" s="9" t="s">
        <v>113</v>
      </c>
      <c r="D6" s="3" t="s">
        <v>141</v>
      </c>
    </row>
    <row r="7" spans="1:4">
      <c r="A7" s="8" t="s">
        <v>114</v>
      </c>
      <c r="B7" s="8" t="s">
        <v>7</v>
      </c>
      <c r="C7" s="9" t="s">
        <v>115</v>
      </c>
      <c r="D7" s="3"/>
    </row>
    <row r="8" spans="1:4">
      <c r="A8" s="8" t="s">
        <v>116</v>
      </c>
      <c r="B8" s="8" t="s">
        <v>11</v>
      </c>
      <c r="C8" s="9" t="s">
        <v>117</v>
      </c>
      <c r="D8" s="3" t="s">
        <v>142</v>
      </c>
    </row>
    <row r="9" spans="1:4">
      <c r="A9" s="8" t="s">
        <v>118</v>
      </c>
      <c r="B9" s="8" t="s">
        <v>7</v>
      </c>
      <c r="C9" s="9" t="s">
        <v>119</v>
      </c>
      <c r="D9" s="3"/>
    </row>
    <row r="10" spans="1:4">
      <c r="A10" s="8" t="s">
        <v>120</v>
      </c>
      <c r="B10" s="8" t="s">
        <v>7</v>
      </c>
      <c r="C10" s="9" t="s">
        <v>121</v>
      </c>
      <c r="D10" s="3"/>
    </row>
    <row r="11" spans="1:4">
      <c r="A11" s="8" t="s">
        <v>122</v>
      </c>
      <c r="B11" s="8" t="s">
        <v>7</v>
      </c>
      <c r="C11" s="9" t="s">
        <v>123</v>
      </c>
      <c r="D11" s="3"/>
    </row>
    <row r="12" spans="1:4">
      <c r="A12" s="8" t="s">
        <v>124</v>
      </c>
      <c r="B12" s="8" t="s">
        <v>7</v>
      </c>
      <c r="C12" s="9" t="s">
        <v>125</v>
      </c>
      <c r="D12" s="3"/>
    </row>
    <row r="13" spans="1:4">
      <c r="A13" s="8" t="s">
        <v>126</v>
      </c>
      <c r="B13" s="8" t="s">
        <v>11</v>
      </c>
      <c r="C13" s="9" t="s">
        <v>127</v>
      </c>
      <c r="D13" s="3"/>
    </row>
    <row r="14" spans="1:4">
      <c r="A14" s="8" t="s">
        <v>128</v>
      </c>
      <c r="B14" s="8" t="s">
        <v>11</v>
      </c>
      <c r="C14" s="9" t="s">
        <v>129</v>
      </c>
      <c r="D14" s="3" t="s">
        <v>143</v>
      </c>
    </row>
    <row r="15" spans="1:4">
      <c r="A15" s="8" t="s">
        <v>130</v>
      </c>
      <c r="B15" s="8" t="s">
        <v>7</v>
      </c>
      <c r="C15" s="9" t="s">
        <v>131</v>
      </c>
      <c r="D15" s="3"/>
    </row>
    <row r="16" spans="1:4">
      <c r="A16" s="8" t="s">
        <v>132</v>
      </c>
      <c r="B16" s="8" t="s">
        <v>11</v>
      </c>
      <c r="C16" s="9" t="s">
        <v>133</v>
      </c>
      <c r="D16" s="3" t="s">
        <v>144</v>
      </c>
    </row>
    <row r="17" spans="1:4">
      <c r="A17" s="8" t="s">
        <v>134</v>
      </c>
      <c r="B17" s="8" t="s">
        <v>11</v>
      </c>
      <c r="C17" s="9" t="s">
        <v>135</v>
      </c>
      <c r="D17" s="3" t="s">
        <v>145</v>
      </c>
    </row>
    <row r="18" spans="1:4">
      <c r="A18" s="8" t="s">
        <v>136</v>
      </c>
      <c r="B18" s="8" t="s">
        <v>7</v>
      </c>
      <c r="C18" s="9" t="s">
        <v>137</v>
      </c>
      <c r="D18" s="3"/>
    </row>
    <row r="19" spans="1:4">
      <c r="A19" s="8" t="s">
        <v>138</v>
      </c>
      <c r="B19" s="8" t="s">
        <v>7</v>
      </c>
      <c r="C19" s="9" t="s">
        <v>139</v>
      </c>
      <c r="D19" s="3"/>
    </row>
  </sheetData>
  <hyperlinks>
    <hyperlink ref="D3" r:id="rId1" tooltip="IA779-04-01H - ZPLUS HIGH VOLTAGE INLAY.indd" display="https://product.tdk.com/system/files/dam/doc/product/power/switching-power/prg-power/instruction_manual/zplus-user-manual-high-voltage-models-160v-to-650v.pdf" xr:uid="{3DB79863-C639-4E34-92E8-12E8FA2C1E42}"/>
    <hyperlink ref="D6" r:id="rId2" tooltip="IA779-04-01H - ZPLUS HIGH VOLTAGE INLAY.indd" display="https://product.tdk.com/system/files/dam/doc/product/power/switching-power/prg-power/instruction_manual/zplus-user-manual-high-voltage-models-160v-to-650v.pdf" xr:uid="{C0FFFBED-3F27-4032-A090-28463408648E}"/>
    <hyperlink ref="D8" r:id="rId3" tooltip="IA779-04-01H - ZPLUS HIGH VOLTAGE INLAY.indd" display="https://product.tdk.com/system/files/dam/doc/product/power/switching-power/prg-power/instruction_manual/zplus-user-manual-high-voltage-models-160v-to-650v.pdf" xr:uid="{0B58EB0A-D9A5-493F-8E7E-F09249DDE5A3}"/>
    <hyperlink ref="D14" r:id="rId4" tooltip="IA779-04-01H - ZPLUS HIGH VOLTAGE INLAY.indd" display="https://product.tdk.com/system/files/dam/doc/product/power/switching-power/prg-power/instruction_manual/zplus-user-manual-high-voltage-models-160v-to-650v.pdf" xr:uid="{FBBF1201-A75E-4A07-80E4-0E04A7F07F31}"/>
    <hyperlink ref="D16" r:id="rId5" tooltip="IA779-04-01H - ZPLUS HIGH VOLTAGE INLAY.indd" display="https://product.tdk.com/system/files/dam/doc/product/power/switching-power/prg-power/instruction_manual/zplus-user-manual-high-voltage-models-160v-to-650v.pdf" xr:uid="{854ED525-F805-4184-A04C-4B90849D7BC4}"/>
    <hyperlink ref="D17" r:id="rId6" tooltip="IA779-04-01H - ZPLUS HIGH VOLTAGE INLAY.indd" display="https://product.tdk.com/system/files/dam/doc/product/power/switching-power/prg-power/instruction_manual/zplus-user-manual-high-voltage-models-160v-to-650v.pdf" xr:uid="{4F2BCD39-D382-41E5-AFA3-BD6EFC54E7D5}"/>
  </hyperlinks>
  <pageMargins left="0.7" right="0.7" top="0.75" bottom="0.75" header="0.3" footer="0.3"/>
  <pageSetup paperSize="9"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5B59-885B-40AA-A8E1-AF69E35D6498}">
  <sheetPr>
    <tabColor theme="7" tint="0.39997558519241921"/>
  </sheetPr>
  <dimension ref="A1:G27"/>
  <sheetViews>
    <sheetView workbookViewId="0"/>
  </sheetViews>
  <sheetFormatPr defaultRowHeight="15"/>
  <cols>
    <col min="1" max="1" width="27.5703125" customWidth="1"/>
    <col min="2" max="2" width="25.7109375" customWidth="1"/>
    <col min="3" max="3" width="32" bestFit="1" customWidth="1"/>
    <col min="4" max="4" width="82.28515625" customWidth="1"/>
    <col min="7" max="7" width="8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s="12" t="s">
        <v>47</v>
      </c>
      <c r="B2" s="12" t="s">
        <v>7</v>
      </c>
      <c r="C2" s="12" t="s">
        <v>8</v>
      </c>
      <c r="D2" s="13"/>
      <c r="E2" s="12" t="s">
        <v>48</v>
      </c>
      <c r="G2" s="6"/>
    </row>
    <row r="3" spans="1:7">
      <c r="A3" s="12" t="s">
        <v>51</v>
      </c>
      <c r="B3" s="12" t="s">
        <v>11</v>
      </c>
      <c r="C3" s="12" t="s">
        <v>52</v>
      </c>
      <c r="D3" s="13"/>
      <c r="E3" s="12"/>
      <c r="G3" s="6"/>
    </row>
    <row r="4" spans="1:7">
      <c r="A4" s="10" t="s">
        <v>55</v>
      </c>
      <c r="B4" s="10" t="s">
        <v>11</v>
      </c>
      <c r="C4" s="10" t="s">
        <v>56</v>
      </c>
      <c r="D4" s="11" t="s">
        <v>57</v>
      </c>
      <c r="E4" s="10"/>
      <c r="G4" s="6"/>
    </row>
    <row r="5" spans="1:7">
      <c r="A5" s="10" t="s">
        <v>58</v>
      </c>
      <c r="B5" s="10" t="s">
        <v>11</v>
      </c>
      <c r="C5" s="10" t="s">
        <v>59</v>
      </c>
      <c r="D5" s="11" t="s">
        <v>60</v>
      </c>
      <c r="E5" s="10"/>
      <c r="G5" s="6"/>
    </row>
    <row r="6" spans="1:7">
      <c r="A6" s="10" t="s">
        <v>61</v>
      </c>
      <c r="B6" s="10" t="s">
        <v>11</v>
      </c>
      <c r="C6" s="10" t="s">
        <v>62</v>
      </c>
      <c r="D6" s="11" t="s">
        <v>63</v>
      </c>
      <c r="E6" s="10"/>
      <c r="G6" s="6"/>
    </row>
    <row r="7" spans="1:7">
      <c r="A7" s="12" t="s">
        <v>64</v>
      </c>
      <c r="B7" s="12" t="s">
        <v>11</v>
      </c>
      <c r="C7" s="12" t="s">
        <v>65</v>
      </c>
      <c r="D7" s="13" t="s">
        <v>66</v>
      </c>
      <c r="E7" s="12"/>
      <c r="G7" s="6"/>
    </row>
    <row r="8" spans="1:7">
      <c r="A8" s="12" t="s">
        <v>186</v>
      </c>
      <c r="B8" s="12" t="s">
        <v>11</v>
      </c>
      <c r="C8" s="12" t="s">
        <v>187</v>
      </c>
      <c r="D8" s="13" t="s">
        <v>202</v>
      </c>
      <c r="E8" s="12"/>
      <c r="G8" s="6"/>
    </row>
    <row r="9" spans="1:7">
      <c r="A9" s="10" t="s">
        <v>68</v>
      </c>
      <c r="B9" s="10" t="s">
        <v>11</v>
      </c>
      <c r="C9" s="10" t="s">
        <v>69</v>
      </c>
      <c r="D9" s="11" t="s">
        <v>57</v>
      </c>
      <c r="E9" s="10"/>
      <c r="G9" s="6"/>
    </row>
    <row r="10" spans="1:7">
      <c r="A10" s="10" t="s">
        <v>70</v>
      </c>
      <c r="B10" s="10" t="s">
        <v>11</v>
      </c>
      <c r="C10" s="10" t="s">
        <v>71</v>
      </c>
      <c r="D10" s="11" t="s">
        <v>72</v>
      </c>
      <c r="E10" s="10"/>
      <c r="G10" s="6"/>
    </row>
    <row r="11" spans="1:7">
      <c r="A11" s="10" t="s">
        <v>73</v>
      </c>
      <c r="B11" s="10" t="s">
        <v>11</v>
      </c>
      <c r="C11" s="10" t="s">
        <v>74</v>
      </c>
      <c r="D11" s="11" t="s">
        <v>75</v>
      </c>
      <c r="E11" s="10"/>
      <c r="G11" s="6"/>
    </row>
    <row r="12" spans="1:7">
      <c r="A12" s="10" t="s">
        <v>76</v>
      </c>
      <c r="B12" s="10" t="s">
        <v>11</v>
      </c>
      <c r="C12" s="10" t="s">
        <v>77</v>
      </c>
      <c r="D12" s="11" t="s">
        <v>78</v>
      </c>
      <c r="E12" s="10"/>
      <c r="G12" s="6"/>
    </row>
    <row r="13" spans="1:7">
      <c r="A13" s="10" t="s">
        <v>188</v>
      </c>
      <c r="B13" s="10" t="s">
        <v>11</v>
      </c>
      <c r="C13" s="10" t="s">
        <v>189</v>
      </c>
      <c r="D13" s="11" t="s">
        <v>190</v>
      </c>
      <c r="E13" s="10"/>
      <c r="G13" s="6"/>
    </row>
    <row r="14" spans="1:7">
      <c r="A14" s="10" t="s">
        <v>79</v>
      </c>
      <c r="B14" s="10" t="s">
        <v>11</v>
      </c>
      <c r="C14" s="10" t="s">
        <v>80</v>
      </c>
      <c r="D14" s="11" t="s">
        <v>81</v>
      </c>
      <c r="E14" s="10"/>
      <c r="G14" s="6"/>
    </row>
    <row r="15" spans="1:7">
      <c r="A15" s="10" t="s">
        <v>82</v>
      </c>
      <c r="B15" s="10" t="s">
        <v>11</v>
      </c>
      <c r="C15" s="10" t="s">
        <v>83</v>
      </c>
      <c r="D15" s="11" t="s">
        <v>67</v>
      </c>
      <c r="E15" s="10"/>
      <c r="G15" s="6"/>
    </row>
    <row r="16" spans="1:7">
      <c r="A16" s="12" t="s">
        <v>84</v>
      </c>
      <c r="B16" s="12" t="s">
        <v>11</v>
      </c>
      <c r="C16" s="12" t="s">
        <v>85</v>
      </c>
      <c r="D16" s="13" t="s">
        <v>57</v>
      </c>
      <c r="E16" s="12"/>
      <c r="G16" s="6"/>
    </row>
    <row r="17" spans="1:7">
      <c r="A17" s="12" t="s">
        <v>181</v>
      </c>
      <c r="B17" s="12" t="s">
        <v>11</v>
      </c>
      <c r="C17" s="12" t="s">
        <v>183</v>
      </c>
      <c r="D17" s="13" t="s">
        <v>182</v>
      </c>
      <c r="E17" s="12"/>
      <c r="G17" s="6"/>
    </row>
    <row r="18" spans="1:7">
      <c r="A18" s="12" t="s">
        <v>86</v>
      </c>
      <c r="B18" s="12" t="s">
        <v>11</v>
      </c>
      <c r="C18" s="12" t="s">
        <v>87</v>
      </c>
      <c r="D18" s="13" t="s">
        <v>88</v>
      </c>
      <c r="E18" s="12"/>
      <c r="G18" s="6"/>
    </row>
    <row r="19" spans="1:7">
      <c r="A19" s="12" t="s">
        <v>89</v>
      </c>
      <c r="B19" s="12" t="s">
        <v>11</v>
      </c>
      <c r="C19" s="12" t="s">
        <v>90</v>
      </c>
      <c r="D19" s="13" t="s">
        <v>91</v>
      </c>
      <c r="E19" s="12"/>
      <c r="G19" s="6"/>
    </row>
    <row r="20" spans="1:7">
      <c r="A20" s="12" t="s">
        <v>92</v>
      </c>
      <c r="B20" s="12" t="s">
        <v>11</v>
      </c>
      <c r="C20" s="12" t="s">
        <v>93</v>
      </c>
      <c r="D20" s="13" t="s">
        <v>94</v>
      </c>
      <c r="E20" s="12"/>
      <c r="G20" s="6"/>
    </row>
    <row r="21" spans="1:7">
      <c r="A21" s="12" t="s">
        <v>95</v>
      </c>
      <c r="B21" s="12" t="s">
        <v>11</v>
      </c>
      <c r="C21" s="12" t="s">
        <v>96</v>
      </c>
      <c r="D21" s="13" t="s">
        <v>184</v>
      </c>
      <c r="E21" s="12" t="s">
        <v>185</v>
      </c>
      <c r="G21" s="6"/>
    </row>
    <row r="22" spans="1:7" ht="27.95" customHeight="1">
      <c r="A22" s="5"/>
      <c r="B22" s="5"/>
      <c r="C22" s="5"/>
      <c r="D22" s="6"/>
      <c r="E22" s="5"/>
      <c r="G22" s="6"/>
    </row>
    <row r="23" spans="1:7">
      <c r="A23" s="5" t="s">
        <v>97</v>
      </c>
      <c r="B23" s="5" t="s">
        <v>11</v>
      </c>
      <c r="C23" s="5" t="s">
        <v>98</v>
      </c>
      <c r="D23" s="6" t="s">
        <v>57</v>
      </c>
      <c r="E23" s="5"/>
      <c r="G23" s="6"/>
    </row>
    <row r="24" spans="1:7">
      <c r="A24" s="5" t="s">
        <v>99</v>
      </c>
      <c r="B24" s="5" t="s">
        <v>11</v>
      </c>
      <c r="C24" s="5" t="s">
        <v>100</v>
      </c>
      <c r="D24" s="6" t="s">
        <v>101</v>
      </c>
      <c r="E24" s="5"/>
      <c r="G24" s="6"/>
    </row>
    <row r="25" spans="1:7">
      <c r="A25" s="5" t="s">
        <v>102</v>
      </c>
      <c r="B25" s="5" t="s">
        <v>11</v>
      </c>
      <c r="C25" s="5" t="s">
        <v>103</v>
      </c>
      <c r="D25" s="6" t="s">
        <v>88</v>
      </c>
      <c r="E25" s="5"/>
      <c r="G25" s="6"/>
    </row>
    <row r="26" spans="1:7">
      <c r="A26" s="5"/>
      <c r="B26" s="5"/>
      <c r="C26" s="5"/>
      <c r="D26" s="6"/>
      <c r="E26" s="5"/>
      <c r="G26" s="6"/>
    </row>
    <row r="27" spans="1:7" ht="27.95" customHeight="1">
      <c r="A27" s="5"/>
      <c r="B27" s="5"/>
      <c r="C27" s="5"/>
      <c r="D27" s="6"/>
      <c r="E27" s="5"/>
      <c r="G27" s="6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G33"/>
  <sheetViews>
    <sheetView workbookViewId="0"/>
  </sheetViews>
  <sheetFormatPr defaultRowHeight="15"/>
  <cols>
    <col min="1" max="1" width="27.5703125" customWidth="1"/>
    <col min="2" max="2" width="25.7109375" customWidth="1"/>
    <col min="3" max="3" width="32" bestFit="1" customWidth="1"/>
    <col min="4" max="4" width="82.28515625" customWidth="1"/>
    <col min="7" max="7" width="8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12" t="s">
        <v>47</v>
      </c>
      <c r="B2" s="12" t="s">
        <v>7</v>
      </c>
      <c r="C2" s="12" t="s">
        <v>8</v>
      </c>
      <c r="D2" s="13"/>
      <c r="E2" s="12" t="s">
        <v>48</v>
      </c>
      <c r="G2" s="6"/>
    </row>
    <row r="3" spans="1:7">
      <c r="A3" s="12" t="s">
        <v>51</v>
      </c>
      <c r="B3" s="12" t="s">
        <v>11</v>
      </c>
      <c r="C3" s="12" t="s">
        <v>52</v>
      </c>
      <c r="D3" s="13"/>
      <c r="E3" s="12"/>
      <c r="G3" s="6"/>
    </row>
    <row r="4" spans="1:7">
      <c r="A4" s="10" t="s">
        <v>55</v>
      </c>
      <c r="B4" s="10" t="s">
        <v>11</v>
      </c>
      <c r="C4" s="10" t="s">
        <v>56</v>
      </c>
      <c r="D4" s="11" t="s">
        <v>57</v>
      </c>
      <c r="E4" s="10"/>
      <c r="G4" s="6"/>
    </row>
    <row r="5" spans="1:7">
      <c r="A5" s="10" t="s">
        <v>58</v>
      </c>
      <c r="B5" s="10" t="s">
        <v>11</v>
      </c>
      <c r="C5" s="10" t="s">
        <v>59</v>
      </c>
      <c r="D5" s="11" t="s">
        <v>60</v>
      </c>
      <c r="E5" s="10"/>
      <c r="G5" s="6"/>
    </row>
    <row r="6" spans="1:7">
      <c r="A6" s="10" t="s">
        <v>61</v>
      </c>
      <c r="B6" s="10" t="s">
        <v>11</v>
      </c>
      <c r="C6" s="10" t="s">
        <v>62</v>
      </c>
      <c r="D6" s="11" t="s">
        <v>63</v>
      </c>
      <c r="E6" s="10"/>
      <c r="G6" s="6"/>
    </row>
    <row r="7" spans="1:7">
      <c r="A7" s="12" t="s">
        <v>64</v>
      </c>
      <c r="B7" s="12" t="s">
        <v>11</v>
      </c>
      <c r="C7" s="12" t="s">
        <v>65</v>
      </c>
      <c r="D7" s="13" t="s">
        <v>66</v>
      </c>
      <c r="E7" s="12"/>
      <c r="G7" s="6"/>
    </row>
    <row r="8" spans="1:7">
      <c r="A8" s="12" t="s">
        <v>186</v>
      </c>
      <c r="B8" s="12" t="s">
        <v>11</v>
      </c>
      <c r="C8" s="12" t="s">
        <v>187</v>
      </c>
      <c r="D8" s="13" t="s">
        <v>202</v>
      </c>
      <c r="E8" s="12"/>
      <c r="G8" s="6"/>
    </row>
    <row r="9" spans="1:7">
      <c r="A9" s="10" t="s">
        <v>68</v>
      </c>
      <c r="B9" s="10" t="s">
        <v>11</v>
      </c>
      <c r="C9" s="10" t="s">
        <v>69</v>
      </c>
      <c r="D9" s="11" t="s">
        <v>57</v>
      </c>
      <c r="E9" s="10"/>
      <c r="G9" s="6"/>
    </row>
    <row r="10" spans="1:7">
      <c r="A10" s="10" t="s">
        <v>70</v>
      </c>
      <c r="B10" s="10" t="s">
        <v>11</v>
      </c>
      <c r="C10" s="10" t="s">
        <v>71</v>
      </c>
      <c r="D10" s="11" t="s">
        <v>72</v>
      </c>
      <c r="E10" s="10"/>
      <c r="G10" s="6"/>
    </row>
    <row r="11" spans="1:7">
      <c r="A11" s="10" t="s">
        <v>73</v>
      </c>
      <c r="B11" s="10" t="s">
        <v>11</v>
      </c>
      <c r="C11" s="10" t="s">
        <v>74</v>
      </c>
      <c r="D11" s="11" t="s">
        <v>75</v>
      </c>
      <c r="E11" s="10"/>
      <c r="G11" s="6"/>
    </row>
    <row r="12" spans="1:7">
      <c r="A12" s="10" t="s">
        <v>76</v>
      </c>
      <c r="B12" s="10" t="s">
        <v>11</v>
      </c>
      <c r="C12" s="10" t="s">
        <v>77</v>
      </c>
      <c r="D12" s="11" t="s">
        <v>78</v>
      </c>
      <c r="E12" s="10"/>
      <c r="G12" s="6"/>
    </row>
    <row r="13" spans="1:7" ht="27.95" customHeight="1">
      <c r="A13" s="10" t="s">
        <v>188</v>
      </c>
      <c r="B13" s="10" t="s">
        <v>11</v>
      </c>
      <c r="C13" s="10" t="s">
        <v>189</v>
      </c>
      <c r="D13" s="11" t="s">
        <v>190</v>
      </c>
      <c r="E13" s="10"/>
      <c r="G13" s="6"/>
    </row>
    <row r="14" spans="1:7" ht="27.95" customHeight="1">
      <c r="A14" s="10" t="s">
        <v>79</v>
      </c>
      <c r="B14" s="10" t="s">
        <v>11</v>
      </c>
      <c r="C14" s="10" t="s">
        <v>80</v>
      </c>
      <c r="D14" s="11" t="s">
        <v>81</v>
      </c>
      <c r="E14" s="10"/>
      <c r="G14" s="6"/>
    </row>
    <row r="15" spans="1:7" ht="27.95" customHeight="1">
      <c r="A15" s="10" t="s">
        <v>82</v>
      </c>
      <c r="B15" s="10" t="s">
        <v>11</v>
      </c>
      <c r="C15" s="10" t="s">
        <v>83</v>
      </c>
      <c r="D15" s="11" t="s">
        <v>67</v>
      </c>
      <c r="E15" s="10"/>
      <c r="G15" s="6"/>
    </row>
    <row r="16" spans="1:7" ht="27.95" customHeight="1">
      <c r="A16" s="12" t="s">
        <v>84</v>
      </c>
      <c r="B16" s="12" t="s">
        <v>11</v>
      </c>
      <c r="C16" s="12" t="s">
        <v>85</v>
      </c>
      <c r="D16" s="13" t="s">
        <v>57</v>
      </c>
      <c r="E16" s="12"/>
      <c r="G16" s="6"/>
    </row>
    <row r="17" spans="1:7" ht="27.95" customHeight="1">
      <c r="A17" s="12" t="s">
        <v>181</v>
      </c>
      <c r="B17" s="12" t="s">
        <v>11</v>
      </c>
      <c r="C17" s="12" t="s">
        <v>183</v>
      </c>
      <c r="D17" s="13" t="s">
        <v>182</v>
      </c>
      <c r="E17" s="12"/>
      <c r="G17" s="6"/>
    </row>
    <row r="18" spans="1:7" ht="27.95" customHeight="1">
      <c r="A18" s="12" t="s">
        <v>86</v>
      </c>
      <c r="B18" s="12" t="s">
        <v>11</v>
      </c>
      <c r="C18" s="12" t="s">
        <v>87</v>
      </c>
      <c r="D18" s="13" t="s">
        <v>88</v>
      </c>
      <c r="E18" s="12"/>
      <c r="G18" s="6"/>
    </row>
    <row r="19" spans="1:7" ht="27.95" customHeight="1">
      <c r="A19" s="12" t="s">
        <v>89</v>
      </c>
      <c r="B19" s="12" t="s">
        <v>11</v>
      </c>
      <c r="C19" s="12" t="s">
        <v>90</v>
      </c>
      <c r="D19" s="13" t="s">
        <v>91</v>
      </c>
      <c r="E19" s="12"/>
      <c r="G19" s="6"/>
    </row>
    <row r="20" spans="1:7" ht="27.95" customHeight="1">
      <c r="A20" s="12" t="s">
        <v>92</v>
      </c>
      <c r="B20" s="12" t="s">
        <v>11</v>
      </c>
      <c r="C20" s="12" t="s">
        <v>93</v>
      </c>
      <c r="D20" s="13" t="s">
        <v>94</v>
      </c>
      <c r="E20" s="12"/>
      <c r="G20" s="6"/>
    </row>
    <row r="21" spans="1:7" ht="27.95" customHeight="1">
      <c r="A21" s="12" t="s">
        <v>95</v>
      </c>
      <c r="B21" s="12" t="s">
        <v>11</v>
      </c>
      <c r="C21" s="12" t="s">
        <v>96</v>
      </c>
      <c r="D21" s="13" t="s">
        <v>184</v>
      </c>
      <c r="E21" s="12" t="s">
        <v>185</v>
      </c>
      <c r="G21" s="6"/>
    </row>
    <row r="22" spans="1:7">
      <c r="A22" s="5"/>
      <c r="B22" s="5"/>
      <c r="C22" s="5"/>
      <c r="D22" s="6"/>
      <c r="E22" s="5"/>
      <c r="G22" s="6"/>
    </row>
    <row r="23" spans="1:7">
      <c r="A23" s="5" t="s">
        <v>97</v>
      </c>
      <c r="B23" s="5" t="s">
        <v>11</v>
      </c>
      <c r="C23" s="5" t="s">
        <v>98</v>
      </c>
      <c r="D23" s="6" t="s">
        <v>57</v>
      </c>
      <c r="E23" s="5"/>
      <c r="G23" s="6"/>
    </row>
    <row r="24" spans="1:7">
      <c r="A24" s="5" t="s">
        <v>99</v>
      </c>
      <c r="B24" s="5" t="s">
        <v>11</v>
      </c>
      <c r="C24" s="5" t="s">
        <v>100</v>
      </c>
      <c r="D24" s="6" t="s">
        <v>101</v>
      </c>
      <c r="E24" s="5"/>
      <c r="G24" s="6"/>
    </row>
    <row r="25" spans="1:7">
      <c r="A25" s="5" t="s">
        <v>102</v>
      </c>
      <c r="B25" s="5" t="s">
        <v>11</v>
      </c>
      <c r="C25" s="5" t="s">
        <v>103</v>
      </c>
      <c r="D25" s="6" t="s">
        <v>88</v>
      </c>
      <c r="E25" s="5"/>
      <c r="G25" s="6"/>
    </row>
    <row r="26" spans="1:7">
      <c r="A26" s="5"/>
      <c r="B26" s="5"/>
      <c r="C26" s="5"/>
      <c r="D26" s="6"/>
      <c r="E26" s="5"/>
      <c r="G26" s="6"/>
    </row>
    <row r="27" spans="1:7">
      <c r="A27" s="5"/>
      <c r="B27" s="5"/>
      <c r="C27" s="5"/>
      <c r="D27" s="6"/>
      <c r="E27" s="5"/>
      <c r="G27" s="6"/>
    </row>
    <row r="28" spans="1:7" ht="27.95" customHeight="1">
      <c r="A28" s="5"/>
      <c r="B28" s="5"/>
      <c r="C28" s="5"/>
      <c r="D28" s="6"/>
      <c r="E28" s="5"/>
      <c r="G28" s="6"/>
    </row>
    <row r="29" spans="1:7">
      <c r="A29" s="5"/>
      <c r="B29" s="5"/>
      <c r="C29" s="5"/>
      <c r="D29" s="6"/>
      <c r="E29" s="5"/>
      <c r="G29" s="6"/>
    </row>
    <row r="30" spans="1:7">
      <c r="A30" s="5"/>
      <c r="B30" s="5"/>
      <c r="C30" s="5"/>
      <c r="D30" s="6"/>
      <c r="E30" s="5"/>
      <c r="G30" s="6"/>
    </row>
    <row r="31" spans="1:7">
      <c r="A31" s="5"/>
      <c r="B31" s="5"/>
      <c r="C31" s="5"/>
      <c r="D31" s="6"/>
      <c r="E31" s="5"/>
      <c r="G31" s="6"/>
    </row>
    <row r="32" spans="1:7">
      <c r="A32" s="5"/>
      <c r="B32" s="5"/>
      <c r="C32" s="5"/>
      <c r="D32" s="6"/>
      <c r="E32" s="5"/>
      <c r="G32" s="6"/>
    </row>
    <row r="33" spans="1:7" ht="27.95" customHeight="1">
      <c r="A33" s="5"/>
      <c r="B33" s="5"/>
      <c r="C33" s="5"/>
      <c r="D33" s="6"/>
      <c r="E33" s="5"/>
      <c r="G33" s="6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B197-BBF6-4032-B079-82991FDC08F6}">
  <sheetPr>
    <tabColor theme="4"/>
  </sheetPr>
  <dimension ref="A1:F31"/>
  <sheetViews>
    <sheetView workbookViewId="0">
      <selection activeCell="D31" sqref="D31"/>
    </sheetView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 t="s">
        <v>11</v>
      </c>
      <c r="C2" t="s">
        <v>233</v>
      </c>
      <c r="D2" t="s">
        <v>2</v>
      </c>
      <c r="E2" s="1"/>
    </row>
    <row r="3" spans="1:5">
      <c r="A3" s="8" t="s">
        <v>53</v>
      </c>
      <c r="B3" s="8" t="s">
        <v>11</v>
      </c>
      <c r="C3" s="8" t="s">
        <v>54</v>
      </c>
      <c r="D3" s="8"/>
    </row>
    <row r="4" spans="1:5">
      <c r="A4" s="8" t="s">
        <v>146</v>
      </c>
      <c r="B4" s="8" t="s">
        <v>7</v>
      </c>
      <c r="C4" s="8" t="s">
        <v>139</v>
      </c>
      <c r="D4" s="8"/>
    </row>
    <row r="5" spans="1:5">
      <c r="A5" s="8" t="s">
        <v>239</v>
      </c>
      <c r="B5" s="8" t="s">
        <v>11</v>
      </c>
      <c r="C5" s="8" t="s">
        <v>238</v>
      </c>
      <c r="D5" s="8"/>
    </row>
    <row r="6" spans="1:5">
      <c r="A6" s="8" t="s">
        <v>154</v>
      </c>
      <c r="B6" s="8" t="s">
        <v>11</v>
      </c>
      <c r="C6" s="8" t="s">
        <v>155</v>
      </c>
      <c r="D6" s="8" t="s">
        <v>157</v>
      </c>
    </row>
    <row r="7" spans="1:5">
      <c r="A7" s="8" t="s">
        <v>240</v>
      </c>
      <c r="B7" s="8" t="s">
        <v>11</v>
      </c>
      <c r="C7" s="8" t="s">
        <v>242</v>
      </c>
      <c r="D7" s="8" t="s">
        <v>241</v>
      </c>
    </row>
    <row r="8" spans="1:5">
      <c r="A8" s="8" t="s">
        <v>210</v>
      </c>
      <c r="B8" s="8" t="s">
        <v>11</v>
      </c>
      <c r="C8" s="8" t="s">
        <v>156</v>
      </c>
      <c r="D8" s="8" t="s">
        <v>158</v>
      </c>
    </row>
    <row r="9" spans="1:5">
      <c r="A9" s="8" t="s">
        <v>211</v>
      </c>
      <c r="B9" s="8" t="s">
        <v>11</v>
      </c>
      <c r="C9" s="8" t="s">
        <v>209</v>
      </c>
      <c r="D9" s="8" t="s">
        <v>207</v>
      </c>
    </row>
    <row r="10" spans="1:5">
      <c r="A10" s="8" t="s">
        <v>236</v>
      </c>
      <c r="B10" s="8" t="s">
        <v>11</v>
      </c>
      <c r="C10" s="8" t="s">
        <v>208</v>
      </c>
      <c r="D10" s="8" t="s">
        <v>206</v>
      </c>
    </row>
    <row r="11" spans="1:5">
      <c r="A11" s="8" t="s">
        <v>162</v>
      </c>
      <c r="B11" s="8" t="s">
        <v>11</v>
      </c>
      <c r="C11" s="8" t="s">
        <v>159</v>
      </c>
      <c r="D11" s="8" t="s">
        <v>168</v>
      </c>
    </row>
    <row r="12" spans="1:5">
      <c r="A12" s="8" t="s">
        <v>147</v>
      </c>
      <c r="B12" s="8" t="s">
        <v>11</v>
      </c>
      <c r="C12" s="8" t="s">
        <v>231</v>
      </c>
      <c r="D12" s="8" t="s">
        <v>230</v>
      </c>
    </row>
    <row r="13" spans="1:5" ht="16.5" customHeight="1">
      <c r="A13" s="8" t="s">
        <v>163</v>
      </c>
      <c r="B13" s="8" t="s">
        <v>11</v>
      </c>
      <c r="C13" s="8" t="s">
        <v>160</v>
      </c>
      <c r="D13" s="8" t="s">
        <v>161</v>
      </c>
    </row>
    <row r="14" spans="1:5">
      <c r="A14" s="8" t="s">
        <v>148</v>
      </c>
      <c r="B14" s="8" t="s">
        <v>11</v>
      </c>
      <c r="C14" s="8" t="s">
        <v>149</v>
      </c>
      <c r="D14" s="8" t="s">
        <v>150</v>
      </c>
      <c r="E14" s="8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6">
      <c r="A17" s="8" t="s">
        <v>151</v>
      </c>
      <c r="B17" s="8" t="s">
        <v>11</v>
      </c>
      <c r="C17" s="8" t="s">
        <v>213</v>
      </c>
      <c r="D17" s="8" t="s">
        <v>227</v>
      </c>
      <c r="E17" s="8"/>
    </row>
    <row r="18" spans="1:6">
      <c r="A18" s="8" t="s">
        <v>152</v>
      </c>
      <c r="B18" s="8" t="s">
        <v>11</v>
      </c>
      <c r="C18" s="8" t="s">
        <v>235</v>
      </c>
      <c r="D18" s="8" t="s">
        <v>234</v>
      </c>
    </row>
    <row r="19" spans="1:6">
      <c r="A19" s="8" t="s">
        <v>153</v>
      </c>
      <c r="B19" s="8" t="s">
        <v>11</v>
      </c>
      <c r="C19" s="8" t="s">
        <v>216</v>
      </c>
      <c r="D19" s="8" t="s">
        <v>228</v>
      </c>
    </row>
    <row r="20" spans="1:6">
      <c r="A20" s="8" t="s">
        <v>180</v>
      </c>
      <c r="B20" s="8" t="s">
        <v>11</v>
      </c>
      <c r="C20" s="8" t="s">
        <v>169</v>
      </c>
      <c r="D20" s="8" t="s">
        <v>170</v>
      </c>
    </row>
    <row r="21" spans="1:6">
      <c r="A21" s="8" t="s">
        <v>237</v>
      </c>
      <c r="B21" s="8" t="s">
        <v>11</v>
      </c>
      <c r="C21" s="8" t="s">
        <v>212</v>
      </c>
      <c r="D21" s="8"/>
    </row>
    <row r="22" spans="1:6">
      <c r="A22" s="8" t="s">
        <v>215</v>
      </c>
      <c r="B22" s="8" t="s">
        <v>11</v>
      </c>
      <c r="C22" s="8" t="s">
        <v>214</v>
      </c>
      <c r="D22" s="8" t="s">
        <v>150</v>
      </c>
    </row>
    <row r="23" spans="1:6">
      <c r="A23" s="8" t="s">
        <v>164</v>
      </c>
      <c r="B23" s="8" t="s">
        <v>11</v>
      </c>
      <c r="C23" s="8" t="s">
        <v>205</v>
      </c>
      <c r="D23" s="8"/>
    </row>
    <row r="24" spans="1:6">
      <c r="A24" s="8" t="s">
        <v>165</v>
      </c>
      <c r="B24" s="8" t="s">
        <v>11</v>
      </c>
      <c r="C24" s="8" t="s">
        <v>167</v>
      </c>
      <c r="D24" s="8" t="s">
        <v>166</v>
      </c>
    </row>
    <row r="25" spans="1:6">
      <c r="D25" s="8"/>
    </row>
    <row r="26" spans="1:6">
      <c r="A26" s="8"/>
      <c r="B26" s="8"/>
      <c r="C26" s="8"/>
      <c r="D26" s="8"/>
      <c r="E26" s="8"/>
    </row>
    <row r="27" spans="1:6">
      <c r="A27" s="8" t="s">
        <v>203</v>
      </c>
      <c r="B27" s="8" t="s">
        <v>7</v>
      </c>
      <c r="C27" s="8" t="s">
        <v>204</v>
      </c>
      <c r="D27" s="8" t="s">
        <v>229</v>
      </c>
    </row>
    <row r="28" spans="1:6">
      <c r="A28" s="8"/>
      <c r="B28" s="8"/>
      <c r="C28" s="8"/>
      <c r="D28" s="8"/>
    </row>
    <row r="29" spans="1:6">
      <c r="A29" s="8"/>
      <c r="B29" s="8"/>
      <c r="C29" s="8"/>
      <c r="D29" s="8"/>
      <c r="E29" s="8"/>
    </row>
    <row r="30" spans="1:6">
      <c r="A30" s="8"/>
      <c r="B30" s="8"/>
      <c r="C30" s="8"/>
      <c r="D30" s="8"/>
      <c r="F30" s="8"/>
    </row>
    <row r="31" spans="1:6">
      <c r="A31" s="8" t="s">
        <v>219</v>
      </c>
      <c r="B31" s="8" t="s">
        <v>7</v>
      </c>
      <c r="C31" t="s">
        <v>217</v>
      </c>
      <c r="D31" s="8" t="s">
        <v>218</v>
      </c>
      <c r="F31" s="8" t="s">
        <v>220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955B-3547-4061-AAB8-09C8A9620129}">
  <sheetPr>
    <tabColor theme="4"/>
  </sheetPr>
  <dimension ref="A1:F31"/>
  <sheetViews>
    <sheetView workbookViewId="0"/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 t="s">
        <v>11</v>
      </c>
      <c r="C2" t="s">
        <v>233</v>
      </c>
      <c r="D2" t="s">
        <v>2</v>
      </c>
      <c r="E2" s="1"/>
    </row>
    <row r="3" spans="1:5">
      <c r="A3" s="8" t="s">
        <v>53</v>
      </c>
      <c r="B3" s="8" t="s">
        <v>11</v>
      </c>
      <c r="C3" s="8" t="s">
        <v>54</v>
      </c>
      <c r="D3" s="8"/>
    </row>
    <row r="4" spans="1:5">
      <c r="A4" s="8" t="s">
        <v>146</v>
      </c>
      <c r="B4" s="8" t="s">
        <v>7</v>
      </c>
      <c r="C4" s="8" t="s">
        <v>139</v>
      </c>
      <c r="D4" s="8"/>
    </row>
    <row r="5" spans="1:5">
      <c r="A5" s="8" t="s">
        <v>239</v>
      </c>
      <c r="B5" s="8" t="s">
        <v>11</v>
      </c>
      <c r="C5" s="8" t="s">
        <v>238</v>
      </c>
      <c r="D5" s="8"/>
    </row>
    <row r="6" spans="1:5">
      <c r="A6" s="8" t="s">
        <v>154</v>
      </c>
      <c r="B6" s="8" t="s">
        <v>11</v>
      </c>
      <c r="C6" s="8" t="s">
        <v>155</v>
      </c>
      <c r="D6" s="8" t="s">
        <v>157</v>
      </c>
    </row>
    <row r="7" spans="1:5">
      <c r="A7" s="8" t="s">
        <v>240</v>
      </c>
      <c r="B7" s="8" t="s">
        <v>11</v>
      </c>
      <c r="C7" s="8" t="s">
        <v>242</v>
      </c>
      <c r="D7" s="8" t="s">
        <v>241</v>
      </c>
    </row>
    <row r="8" spans="1:5">
      <c r="A8" s="8" t="s">
        <v>210</v>
      </c>
      <c r="B8" s="8" t="s">
        <v>11</v>
      </c>
      <c r="C8" s="8" t="s">
        <v>156</v>
      </c>
      <c r="D8" s="8" t="s">
        <v>158</v>
      </c>
    </row>
    <row r="9" spans="1:5">
      <c r="A9" s="8" t="s">
        <v>211</v>
      </c>
      <c r="B9" s="8" t="s">
        <v>11</v>
      </c>
      <c r="C9" s="8" t="s">
        <v>209</v>
      </c>
      <c r="D9" s="8" t="s">
        <v>207</v>
      </c>
    </row>
    <row r="10" spans="1:5">
      <c r="A10" s="8" t="s">
        <v>236</v>
      </c>
      <c r="B10" s="8" t="s">
        <v>11</v>
      </c>
      <c r="C10" s="8" t="s">
        <v>208</v>
      </c>
      <c r="D10" s="8" t="s">
        <v>206</v>
      </c>
    </row>
    <row r="11" spans="1:5">
      <c r="A11" s="8" t="s">
        <v>162</v>
      </c>
      <c r="B11" s="8" t="s">
        <v>11</v>
      </c>
      <c r="C11" s="8" t="s">
        <v>159</v>
      </c>
      <c r="D11" s="8" t="s">
        <v>168</v>
      </c>
    </row>
    <row r="12" spans="1:5">
      <c r="A12" s="8" t="s">
        <v>147</v>
      </c>
      <c r="B12" s="8" t="s">
        <v>11</v>
      </c>
      <c r="C12" s="8" t="s">
        <v>231</v>
      </c>
      <c r="D12" s="8" t="s">
        <v>230</v>
      </c>
    </row>
    <row r="13" spans="1:5" ht="16.5" customHeight="1">
      <c r="A13" s="8" t="s">
        <v>163</v>
      </c>
      <c r="B13" s="8" t="s">
        <v>11</v>
      </c>
      <c r="C13" s="8" t="s">
        <v>160</v>
      </c>
      <c r="D13" s="8" t="s">
        <v>161</v>
      </c>
    </row>
    <row r="14" spans="1:5">
      <c r="A14" s="8" t="s">
        <v>148</v>
      </c>
      <c r="B14" s="8" t="s">
        <v>11</v>
      </c>
      <c r="C14" s="8" t="s">
        <v>149</v>
      </c>
      <c r="D14" s="8" t="s">
        <v>150</v>
      </c>
      <c r="E14" s="8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6">
      <c r="A17" s="8" t="s">
        <v>151</v>
      </c>
      <c r="B17" s="8" t="s">
        <v>11</v>
      </c>
      <c r="C17" s="8" t="s">
        <v>213</v>
      </c>
      <c r="D17" s="8" t="s">
        <v>227</v>
      </c>
      <c r="E17" s="8"/>
    </row>
    <row r="18" spans="1:6">
      <c r="A18" s="8" t="s">
        <v>152</v>
      </c>
      <c r="B18" s="8" t="s">
        <v>11</v>
      </c>
      <c r="C18" s="8" t="s">
        <v>235</v>
      </c>
      <c r="D18" s="8" t="s">
        <v>234</v>
      </c>
    </row>
    <row r="19" spans="1:6">
      <c r="A19" s="8" t="s">
        <v>153</v>
      </c>
      <c r="B19" s="8" t="s">
        <v>11</v>
      </c>
      <c r="C19" s="8" t="s">
        <v>216</v>
      </c>
      <c r="D19" s="8" t="s">
        <v>228</v>
      </c>
    </row>
    <row r="20" spans="1:6">
      <c r="A20" s="8" t="s">
        <v>180</v>
      </c>
      <c r="B20" s="8" t="s">
        <v>11</v>
      </c>
      <c r="C20" s="8" t="s">
        <v>169</v>
      </c>
      <c r="D20" s="8" t="s">
        <v>170</v>
      </c>
    </row>
    <row r="21" spans="1:6">
      <c r="A21" s="8" t="s">
        <v>237</v>
      </c>
      <c r="B21" s="8" t="s">
        <v>11</v>
      </c>
      <c r="C21" s="8" t="s">
        <v>212</v>
      </c>
      <c r="D21" s="8"/>
    </row>
    <row r="22" spans="1:6">
      <c r="A22" s="8" t="s">
        <v>215</v>
      </c>
      <c r="B22" s="8" t="s">
        <v>11</v>
      </c>
      <c r="C22" s="8" t="s">
        <v>214</v>
      </c>
      <c r="D22" s="8" t="s">
        <v>150</v>
      </c>
    </row>
    <row r="23" spans="1:6">
      <c r="A23" s="8" t="s">
        <v>164</v>
      </c>
      <c r="B23" s="8" t="s">
        <v>11</v>
      </c>
      <c r="C23" s="8" t="s">
        <v>205</v>
      </c>
      <c r="D23" s="8"/>
    </row>
    <row r="24" spans="1:6">
      <c r="A24" s="8" t="s">
        <v>165</v>
      </c>
      <c r="B24" s="8" t="s">
        <v>11</v>
      </c>
      <c r="C24" s="8" t="s">
        <v>167</v>
      </c>
      <c r="D24" s="8" t="s">
        <v>166</v>
      </c>
    </row>
    <row r="25" spans="1:6">
      <c r="D25" s="8"/>
    </row>
    <row r="26" spans="1:6">
      <c r="A26" s="8"/>
      <c r="B26" s="8"/>
      <c r="C26" s="8"/>
      <c r="D26" s="8"/>
      <c r="E26" s="8"/>
    </row>
    <row r="27" spans="1:6">
      <c r="A27" s="8" t="s">
        <v>203</v>
      </c>
      <c r="B27" s="8" t="s">
        <v>7</v>
      </c>
      <c r="C27" s="8" t="s">
        <v>204</v>
      </c>
      <c r="D27" s="8" t="s">
        <v>229</v>
      </c>
    </row>
    <row r="28" spans="1:6">
      <c r="A28" s="8"/>
      <c r="B28" s="8"/>
      <c r="C28" s="8"/>
      <c r="D28" s="8"/>
    </row>
    <row r="29" spans="1:6">
      <c r="A29" s="8"/>
      <c r="B29" s="8"/>
      <c r="C29" s="8"/>
      <c r="D29" s="8"/>
      <c r="E29" s="8"/>
    </row>
    <row r="30" spans="1:6">
      <c r="A30" s="8"/>
      <c r="B30" s="8"/>
      <c r="C30" s="8"/>
      <c r="D30" s="8"/>
      <c r="F30" s="8"/>
    </row>
    <row r="31" spans="1:6">
      <c r="A31" s="8" t="s">
        <v>219</v>
      </c>
      <c r="B31" s="8" t="s">
        <v>7</v>
      </c>
      <c r="C31" t="s">
        <v>217</v>
      </c>
      <c r="D31" s="8" t="s">
        <v>218</v>
      </c>
      <c r="F31" s="8" t="s">
        <v>220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ABA3-097E-44FB-AC44-DC43E2BCB82B}">
  <sheetPr>
    <tabColor theme="4"/>
  </sheetPr>
  <dimension ref="A1:F31"/>
  <sheetViews>
    <sheetView workbookViewId="0"/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 t="s">
        <v>11</v>
      </c>
      <c r="C2" t="s">
        <v>233</v>
      </c>
      <c r="D2" t="s">
        <v>2</v>
      </c>
      <c r="E2" s="1"/>
    </row>
    <row r="3" spans="1:5">
      <c r="A3" s="8" t="s">
        <v>53</v>
      </c>
      <c r="B3" s="8" t="s">
        <v>11</v>
      </c>
      <c r="C3" s="8" t="s">
        <v>54</v>
      </c>
      <c r="D3" s="8"/>
    </row>
    <row r="4" spans="1:5">
      <c r="A4" s="8" t="s">
        <v>146</v>
      </c>
      <c r="B4" s="8" t="s">
        <v>7</v>
      </c>
      <c r="C4" s="8" t="s">
        <v>139</v>
      </c>
      <c r="D4" s="8"/>
    </row>
    <row r="5" spans="1:5">
      <c r="A5" s="8" t="s">
        <v>239</v>
      </c>
      <c r="B5" s="8" t="s">
        <v>11</v>
      </c>
      <c r="C5" s="8" t="s">
        <v>238</v>
      </c>
      <c r="D5" s="8"/>
    </row>
    <row r="6" spans="1:5">
      <c r="A6" s="8" t="s">
        <v>154</v>
      </c>
      <c r="B6" s="8" t="s">
        <v>11</v>
      </c>
      <c r="C6" s="8" t="s">
        <v>155</v>
      </c>
      <c r="D6" s="8" t="s">
        <v>157</v>
      </c>
    </row>
    <row r="7" spans="1:5">
      <c r="A7" s="8" t="s">
        <v>240</v>
      </c>
      <c r="B7" s="8" t="s">
        <v>11</v>
      </c>
      <c r="C7" s="8" t="s">
        <v>242</v>
      </c>
      <c r="D7" s="8" t="s">
        <v>241</v>
      </c>
    </row>
    <row r="8" spans="1:5">
      <c r="A8" s="8" t="s">
        <v>210</v>
      </c>
      <c r="B8" s="8" t="s">
        <v>11</v>
      </c>
      <c r="C8" s="8" t="s">
        <v>156</v>
      </c>
      <c r="D8" s="8" t="s">
        <v>158</v>
      </c>
    </row>
    <row r="9" spans="1:5">
      <c r="A9" s="8" t="s">
        <v>211</v>
      </c>
      <c r="B9" s="8" t="s">
        <v>11</v>
      </c>
      <c r="C9" s="8" t="s">
        <v>209</v>
      </c>
      <c r="D9" s="8" t="s">
        <v>207</v>
      </c>
    </row>
    <row r="10" spans="1:5">
      <c r="A10" s="8" t="s">
        <v>236</v>
      </c>
      <c r="B10" s="8" t="s">
        <v>11</v>
      </c>
      <c r="C10" s="8" t="s">
        <v>208</v>
      </c>
      <c r="D10" s="8" t="s">
        <v>206</v>
      </c>
    </row>
    <row r="11" spans="1:5">
      <c r="A11" s="8" t="s">
        <v>162</v>
      </c>
      <c r="B11" s="8" t="s">
        <v>11</v>
      </c>
      <c r="C11" s="8" t="s">
        <v>159</v>
      </c>
      <c r="D11" s="8" t="s">
        <v>168</v>
      </c>
    </row>
    <row r="12" spans="1:5">
      <c r="A12" s="8" t="s">
        <v>147</v>
      </c>
      <c r="B12" s="8" t="s">
        <v>11</v>
      </c>
      <c r="C12" s="8" t="s">
        <v>231</v>
      </c>
      <c r="D12" s="8" t="s">
        <v>230</v>
      </c>
    </row>
    <row r="13" spans="1:5" ht="16.5" customHeight="1">
      <c r="A13" s="8" t="s">
        <v>163</v>
      </c>
      <c r="B13" s="8" t="s">
        <v>11</v>
      </c>
      <c r="C13" s="8" t="s">
        <v>160</v>
      </c>
      <c r="D13" s="8" t="s">
        <v>161</v>
      </c>
    </row>
    <row r="14" spans="1:5">
      <c r="A14" s="8" t="s">
        <v>148</v>
      </c>
      <c r="B14" s="8" t="s">
        <v>11</v>
      </c>
      <c r="C14" s="8" t="s">
        <v>149</v>
      </c>
      <c r="D14" s="8" t="s">
        <v>150</v>
      </c>
      <c r="E14" s="8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6">
      <c r="A17" s="8" t="s">
        <v>151</v>
      </c>
      <c r="B17" s="8" t="s">
        <v>11</v>
      </c>
      <c r="C17" s="8" t="s">
        <v>213</v>
      </c>
      <c r="D17" s="8" t="s">
        <v>227</v>
      </c>
      <c r="E17" s="8"/>
    </row>
    <row r="18" spans="1:6">
      <c r="A18" s="8" t="s">
        <v>152</v>
      </c>
      <c r="B18" s="8" t="s">
        <v>11</v>
      </c>
      <c r="C18" s="8" t="s">
        <v>235</v>
      </c>
      <c r="D18" s="8" t="s">
        <v>234</v>
      </c>
    </row>
    <row r="19" spans="1:6">
      <c r="A19" s="8" t="s">
        <v>153</v>
      </c>
      <c r="B19" s="8" t="s">
        <v>11</v>
      </c>
      <c r="C19" s="8" t="s">
        <v>216</v>
      </c>
      <c r="D19" s="8" t="s">
        <v>228</v>
      </c>
    </row>
    <row r="20" spans="1:6">
      <c r="A20" s="8" t="s">
        <v>180</v>
      </c>
      <c r="B20" s="8" t="s">
        <v>11</v>
      </c>
      <c r="C20" s="8" t="s">
        <v>169</v>
      </c>
      <c r="D20" s="8" t="s">
        <v>170</v>
      </c>
    </row>
    <row r="21" spans="1:6">
      <c r="A21" s="8" t="s">
        <v>237</v>
      </c>
      <c r="B21" s="8" t="s">
        <v>11</v>
      </c>
      <c r="C21" s="8" t="s">
        <v>212</v>
      </c>
      <c r="D21" s="8"/>
    </row>
    <row r="22" spans="1:6">
      <c r="A22" s="8" t="s">
        <v>215</v>
      </c>
      <c r="B22" s="8" t="s">
        <v>11</v>
      </c>
      <c r="C22" s="8" t="s">
        <v>214</v>
      </c>
      <c r="D22" s="8" t="s">
        <v>150</v>
      </c>
    </row>
    <row r="23" spans="1:6">
      <c r="A23" s="8" t="s">
        <v>164</v>
      </c>
      <c r="B23" s="8" t="s">
        <v>11</v>
      </c>
      <c r="C23" s="8" t="s">
        <v>205</v>
      </c>
      <c r="D23" s="8"/>
    </row>
    <row r="24" spans="1:6">
      <c r="A24" s="8" t="s">
        <v>165</v>
      </c>
      <c r="B24" s="8" t="s">
        <v>11</v>
      </c>
      <c r="C24" s="8" t="s">
        <v>167</v>
      </c>
      <c r="D24" s="8" t="s">
        <v>166</v>
      </c>
    </row>
    <row r="25" spans="1:6">
      <c r="D25" s="8"/>
    </row>
    <row r="26" spans="1:6">
      <c r="A26" s="8"/>
      <c r="B26" s="8"/>
      <c r="C26" s="8"/>
      <c r="D26" s="8"/>
      <c r="E26" s="8"/>
    </row>
    <row r="27" spans="1:6">
      <c r="A27" s="8" t="s">
        <v>203</v>
      </c>
      <c r="B27" s="8" t="s">
        <v>7</v>
      </c>
      <c r="C27" s="8" t="s">
        <v>204</v>
      </c>
      <c r="D27" s="8" t="s">
        <v>229</v>
      </c>
    </row>
    <row r="28" spans="1:6">
      <c r="A28" s="8"/>
      <c r="B28" s="8"/>
      <c r="C28" s="8"/>
      <c r="D28" s="8"/>
    </row>
    <row r="29" spans="1:6">
      <c r="A29" s="8"/>
      <c r="B29" s="8"/>
      <c r="C29" s="8"/>
      <c r="D29" s="8"/>
      <c r="E29" s="8"/>
    </row>
    <row r="30" spans="1:6">
      <c r="A30" s="8"/>
      <c r="B30" s="8"/>
      <c r="C30" s="8"/>
      <c r="D30" s="8"/>
      <c r="F30" s="8"/>
    </row>
    <row r="31" spans="1:6">
      <c r="A31" s="8" t="s">
        <v>219</v>
      </c>
      <c r="B31" s="8" t="s">
        <v>7</v>
      </c>
      <c r="C31" t="s">
        <v>217</v>
      </c>
      <c r="D31" s="8" t="s">
        <v>218</v>
      </c>
      <c r="F31" s="8" t="s">
        <v>220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07AE-3B2E-4FE7-ACEA-9693B81B394D}">
  <sheetPr>
    <tabColor theme="4"/>
  </sheetPr>
  <dimension ref="A1:F31"/>
  <sheetViews>
    <sheetView workbookViewId="0"/>
  </sheetViews>
  <sheetFormatPr defaultRowHeight="15"/>
  <cols>
    <col min="1" max="1" width="37.42578125" customWidth="1"/>
    <col min="2" max="2" width="8.28515625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" t="s">
        <v>105</v>
      </c>
      <c r="B2" s="8" t="s">
        <v>7</v>
      </c>
      <c r="C2" s="8" t="s">
        <v>8</v>
      </c>
      <c r="D2" s="8"/>
    </row>
    <row r="3" spans="1:5">
      <c r="A3" s="8" t="s">
        <v>53</v>
      </c>
      <c r="B3" s="8" t="s">
        <v>11</v>
      </c>
      <c r="C3" s="8" t="s">
        <v>54</v>
      </c>
      <c r="D3" s="8"/>
    </row>
    <row r="4" spans="1:5">
      <c r="A4" s="8" t="s">
        <v>146</v>
      </c>
      <c r="B4" s="8" t="s">
        <v>7</v>
      </c>
      <c r="C4" s="8" t="s">
        <v>243</v>
      </c>
      <c r="D4" s="8"/>
    </row>
    <row r="5" spans="1:5">
      <c r="A5" s="8"/>
      <c r="B5" s="8"/>
      <c r="C5" s="8"/>
      <c r="D5" s="8"/>
    </row>
    <row r="6" spans="1:5">
      <c r="A6" s="8" t="s">
        <v>154</v>
      </c>
      <c r="B6" s="8" t="s">
        <v>11</v>
      </c>
      <c r="C6" s="8" t="s">
        <v>244</v>
      </c>
      <c r="D6" s="8" t="s">
        <v>274</v>
      </c>
      <c r="E6" t="s">
        <v>245</v>
      </c>
    </row>
    <row r="7" spans="1:5">
      <c r="A7" s="8" t="s">
        <v>210</v>
      </c>
      <c r="B7" s="8" t="s">
        <v>11</v>
      </c>
      <c r="C7" s="8" t="s">
        <v>246</v>
      </c>
      <c r="D7" s="8" t="s">
        <v>273</v>
      </c>
    </row>
    <row r="8" spans="1:5">
      <c r="A8" s="8" t="s">
        <v>211</v>
      </c>
      <c r="B8" s="8" t="s">
        <v>11</v>
      </c>
      <c r="C8" s="8" t="s">
        <v>247</v>
      </c>
      <c r="D8" s="8" t="s">
        <v>275</v>
      </c>
    </row>
    <row r="9" spans="1:5">
      <c r="A9" s="8" t="s">
        <v>248</v>
      </c>
      <c r="B9" s="8" t="s">
        <v>11</v>
      </c>
      <c r="C9" s="8" t="s">
        <v>249</v>
      </c>
      <c r="D9" s="8" t="s">
        <v>276</v>
      </c>
    </row>
    <row r="10" spans="1:5">
      <c r="A10" s="8" t="s">
        <v>162</v>
      </c>
      <c r="B10" s="8" t="s">
        <v>11</v>
      </c>
      <c r="C10" s="8" t="s">
        <v>280</v>
      </c>
      <c r="D10" s="8" t="s">
        <v>281</v>
      </c>
    </row>
    <row r="11" spans="1:5">
      <c r="A11" s="8" t="s">
        <v>147</v>
      </c>
      <c r="B11" s="8" t="s">
        <v>11</v>
      </c>
      <c r="C11" s="8" t="s">
        <v>250</v>
      </c>
      <c r="D11" s="8" t="s">
        <v>277</v>
      </c>
    </row>
    <row r="12" spans="1:5">
      <c r="A12" s="8" t="s">
        <v>163</v>
      </c>
      <c r="B12" s="8" t="s">
        <v>11</v>
      </c>
      <c r="C12" s="8" t="s">
        <v>251</v>
      </c>
      <c r="D12" s="8" t="s">
        <v>252</v>
      </c>
    </row>
    <row r="13" spans="1:5">
      <c r="A13" s="8"/>
      <c r="B13" s="8"/>
      <c r="C13" s="8"/>
      <c r="D13" s="8"/>
    </row>
    <row r="14" spans="1:5">
      <c r="A14" s="8" t="s">
        <v>282</v>
      </c>
      <c r="B14" s="8" t="s">
        <v>11</v>
      </c>
      <c r="C14" s="8" t="s">
        <v>283</v>
      </c>
      <c r="D14" s="8" t="s">
        <v>284</v>
      </c>
      <c r="E14" s="8"/>
    </row>
    <row r="15" spans="1:5">
      <c r="A15" s="8" t="s">
        <v>165</v>
      </c>
      <c r="B15" s="8" t="s">
        <v>11</v>
      </c>
      <c r="C15" s="8" t="s">
        <v>253</v>
      </c>
      <c r="D15" s="8" t="s">
        <v>278</v>
      </c>
      <c r="E15" t="s">
        <v>254</v>
      </c>
    </row>
    <row r="16" spans="1:5" ht="45">
      <c r="A16" s="8" t="s">
        <v>180</v>
      </c>
      <c r="B16" s="8" t="s">
        <v>11</v>
      </c>
      <c r="C16" s="8" t="s">
        <v>255</v>
      </c>
      <c r="D16" s="8" t="s">
        <v>279</v>
      </c>
      <c r="E16" t="s">
        <v>256</v>
      </c>
    </row>
    <row r="17" spans="1:6">
      <c r="A17" s="8"/>
      <c r="B17" s="8"/>
      <c r="C17" s="8"/>
      <c r="D17" s="8"/>
    </row>
    <row r="18" spans="1:6">
      <c r="A18" s="8"/>
      <c r="B18" s="8"/>
      <c r="C18" s="8"/>
      <c r="D18" s="8"/>
    </row>
    <row r="21" spans="1:6">
      <c r="A21" s="8"/>
      <c r="B21" s="8"/>
      <c r="C21" s="8"/>
      <c r="D21" s="8"/>
      <c r="E21" s="8"/>
    </row>
    <row r="22" spans="1:6">
      <c r="A22" s="8" t="s">
        <v>151</v>
      </c>
      <c r="B22" s="8" t="s">
        <v>11</v>
      </c>
      <c r="C22" s="8" t="s">
        <v>257</v>
      </c>
      <c r="D22" s="8" t="s">
        <v>258</v>
      </c>
      <c r="E22" t="s">
        <v>259</v>
      </c>
    </row>
    <row r="23" spans="1:6">
      <c r="A23" s="8" t="s">
        <v>215</v>
      </c>
      <c r="B23" s="8" t="s">
        <v>11</v>
      </c>
      <c r="C23" s="8" t="s">
        <v>260</v>
      </c>
      <c r="D23" s="8" t="s">
        <v>261</v>
      </c>
      <c r="E23" t="s">
        <v>262</v>
      </c>
    </row>
    <row r="24" spans="1:6">
      <c r="A24" s="8" t="s">
        <v>153</v>
      </c>
      <c r="B24" s="8" t="s">
        <v>11</v>
      </c>
      <c r="C24" s="8" t="s">
        <v>263</v>
      </c>
      <c r="D24" s="8" t="s">
        <v>264</v>
      </c>
      <c r="E24" s="8" t="s">
        <v>265</v>
      </c>
    </row>
    <row r="25" spans="1:6">
      <c r="A25" s="8"/>
      <c r="B25" s="8"/>
      <c r="C25" s="8"/>
      <c r="D25" s="8"/>
      <c r="E25" s="8"/>
    </row>
    <row r="26" spans="1:6">
      <c r="A26" s="8" t="s">
        <v>152</v>
      </c>
      <c r="B26" s="8" t="s">
        <v>11</v>
      </c>
      <c r="C26" s="8" t="s">
        <v>266</v>
      </c>
      <c r="D26" s="8" t="s">
        <v>267</v>
      </c>
      <c r="E26" t="s">
        <v>268</v>
      </c>
    </row>
    <row r="28" spans="1:6" ht="60">
      <c r="A28" s="8" t="s">
        <v>203</v>
      </c>
      <c r="B28" s="8" t="s">
        <v>7</v>
      </c>
      <c r="C28" s="8" t="s">
        <v>285</v>
      </c>
      <c r="D28" s="8" t="s">
        <v>287</v>
      </c>
    </row>
    <row r="29" spans="1:6">
      <c r="A29" s="8"/>
      <c r="B29" s="8"/>
      <c r="C29" s="8"/>
      <c r="D29" s="8"/>
    </row>
    <row r="30" spans="1:6">
      <c r="A30" s="8" t="s">
        <v>269</v>
      </c>
      <c r="B30" s="8" t="s">
        <v>11</v>
      </c>
      <c r="C30" s="8" t="s">
        <v>270</v>
      </c>
      <c r="D30" s="8" t="s">
        <v>271</v>
      </c>
      <c r="E30" s="8" t="s">
        <v>272</v>
      </c>
    </row>
    <row r="31" spans="1:6">
      <c r="A31" s="8" t="s">
        <v>219</v>
      </c>
      <c r="B31" s="8" t="s">
        <v>7</v>
      </c>
      <c r="C31" t="s">
        <v>286</v>
      </c>
      <c r="D31" s="8" t="s">
        <v>218</v>
      </c>
      <c r="F31" s="8" t="s">
        <v>220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11CF-7B67-4481-8807-C8AB2B6C2465}">
  <sheetPr>
    <tabColor rgb="FF00B050"/>
  </sheetPr>
  <dimension ref="A1:G7"/>
  <sheetViews>
    <sheetView workbookViewId="0">
      <selection activeCell="I32" sqref="I32"/>
    </sheetView>
  </sheetViews>
  <sheetFormatPr defaultRowHeight="15"/>
  <cols>
    <col min="1" max="1" width="22.42578125" bestFit="1" customWidth="1"/>
    <col min="2" max="2" width="8.140625" bestFit="1" customWidth="1"/>
    <col min="3" max="3" width="29.42578125" bestFit="1" customWidth="1"/>
    <col min="4" max="4" width="25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>
      <c r="A2" t="s">
        <v>191</v>
      </c>
      <c r="B2" t="s">
        <v>7</v>
      </c>
      <c r="C2" t="s">
        <v>192</v>
      </c>
      <c r="D2" t="s">
        <v>193</v>
      </c>
    </row>
    <row r="3" spans="1:7">
      <c r="A3" t="s">
        <v>197</v>
      </c>
      <c r="B3" t="s">
        <v>11</v>
      </c>
      <c r="C3" t="s">
        <v>198</v>
      </c>
      <c r="D3" t="s">
        <v>199</v>
      </c>
    </row>
    <row r="4" spans="1:7">
      <c r="A4" t="s">
        <v>222</v>
      </c>
      <c r="B4" t="s">
        <v>11</v>
      </c>
      <c r="C4" t="s">
        <v>225</v>
      </c>
      <c r="D4" t="s">
        <v>224</v>
      </c>
    </row>
    <row r="5" spans="1:7">
      <c r="A5" t="s">
        <v>200</v>
      </c>
      <c r="B5" t="s">
        <v>11</v>
      </c>
      <c r="C5" t="s">
        <v>201</v>
      </c>
      <c r="D5" t="s">
        <v>221</v>
      </c>
    </row>
    <row r="6" spans="1:7">
      <c r="A6" t="s">
        <v>195</v>
      </c>
      <c r="B6" t="s">
        <v>11</v>
      </c>
      <c r="C6" t="s">
        <v>196</v>
      </c>
      <c r="D6" t="s">
        <v>221</v>
      </c>
    </row>
    <row r="7" spans="1:7">
      <c r="A7" t="s">
        <v>223</v>
      </c>
      <c r="B7" t="s">
        <v>11</v>
      </c>
      <c r="C7" t="s">
        <v>194</v>
      </c>
      <c r="D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XDM2041</vt:lpstr>
      <vt:lpstr>GDM9061</vt:lpstr>
      <vt:lpstr>KA3005PS</vt:lpstr>
      <vt:lpstr>KA3005P</vt:lpstr>
      <vt:lpstr>Z650-1-U</vt:lpstr>
      <vt:lpstr>SDG2042X</vt:lpstr>
      <vt:lpstr>SDG1032X</vt:lpstr>
      <vt:lpstr>SDS1104X-U</vt:lpstr>
      <vt:lpstr>SDS1204X-E</vt:lpstr>
      <vt:lpstr>SDS5034X</vt:lpstr>
      <vt:lpstr>DS4024</vt:lpstr>
      <vt:lpstr>SDL1020X-E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Achten</dc:creator>
  <cp:lastModifiedBy>Joris Achten</cp:lastModifiedBy>
  <dcterms:created xsi:type="dcterms:W3CDTF">2026-01-11T15:00:13Z</dcterms:created>
  <dcterms:modified xsi:type="dcterms:W3CDTF">2026-02-11T19:52:46Z</dcterms:modified>
</cp:coreProperties>
</file>